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  <sheet name="Quotes" sheetId="2" state="visible" r:id="rId2"/>
    <sheet name="Lines" sheetId="3" state="visible" r:id="rId3"/>
    <sheet name="Summary" sheetId="4" state="visible" r:id="rId4"/>
    <sheet name="Instructions" sheetId="5" state="visible" r:id="rId5"/>
  </sheets>
  <definedNames>
    <definedName name="_xlnm._FilterDatabase" localSheetId="1" hidden="1">'Quotes'!$A$4:$K$4</definedName>
    <definedName name="_xlnm._FilterDatabase" localSheetId="2" hidden="1">'Lines'!$A$4:$F$4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i val="1"/>
      <color rgb="007B8794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0A3D62"/>
      </patternFill>
    </fill>
    <fill>
      <patternFill patternType="solid">
        <fgColor rgb="00D9E2EC"/>
      </patternFill>
    </fill>
  </fills>
  <borders count="2">
    <border>
      <left/>
      <right/>
      <top/>
      <bottom/>
      <diagonal/>
    </border>
    <border>
      <left style="thin">
        <color rgb="009AA5B1"/>
      </left>
      <right style="thin">
        <color rgb="009AA5B1"/>
      </right>
      <top style="thin">
        <color rgb="009AA5B1"/>
      </top>
      <bottom style="thin">
        <color rgb="009AA5B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2" fillId="3" borderId="1" pivotButton="0" quotePrefix="0" xfId="0"/>
    <xf numFmtId="4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wrapText="1"/>
    </xf>
    <xf numFmtId="49" fontId="0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2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8" customWidth="1" min="3" max="3"/>
    <col width="26" customWidth="1" min="4" max="4"/>
    <col width="14" customWidth="1" min="5" max="5"/>
    <col width="14" customWidth="1" min="6" max="6"/>
  </cols>
  <sheetData>
    <row r="1">
      <c r="A1" s="1" t="inlineStr">
        <is>
          <t>Quotation Report 報價報表</t>
        </is>
      </c>
    </row>
    <row r="3">
      <c r="A3" s="2" t="inlineStr">
        <is>
          <t>起始日期 From</t>
        </is>
      </c>
      <c r="B3" t="inlineStr">
        <is>
          <t>2026-09-01</t>
        </is>
      </c>
      <c r="C3" s="2" t="inlineStr">
        <is>
          <t>結束日期 To</t>
        </is>
      </c>
      <c r="D3" t="inlineStr">
        <is>
          <t>2026-09-30</t>
        </is>
      </c>
    </row>
    <row r="4">
      <c r="A4" s="2" t="inlineStr">
        <is>
          <t>條件 Condition</t>
        </is>
      </c>
      <c r="B4" t="inlineStr">
        <is>
          <t>QuoteDate between 2026-09-01 and 2026-09-30 inclusive; all quotes retained regardless of expiry.</t>
        </is>
      </c>
    </row>
    <row r="5">
      <c r="A5" s="2" t="inlineStr">
        <is>
          <t>產出時間 Generated at</t>
        </is>
      </c>
      <c r="B5" t="inlineStr">
        <is>
          <t>2026-10-07T04:05:11+08:00</t>
        </is>
      </c>
    </row>
    <row r="7">
      <c r="A7" s="2" t="inlineStr">
        <is>
          <t>資料來源 Source</t>
        </is>
      </c>
      <c r="B7" t="inlineStr">
        <is>
          <t>quote_cli synthetic quote system; fx_rates.csv</t>
        </is>
      </c>
      <c r="C7" s="2" t="inlineStr">
        <is>
          <t>取得時間 Fetched at</t>
        </is>
      </c>
      <c r="D7" t="inlineStr">
        <is>
          <t>2026-10-07T04:05:11+08:00</t>
        </is>
      </c>
    </row>
    <row r="9">
      <c r="A9" s="2" t="inlineStr">
        <is>
          <t>備註 Notes</t>
        </is>
      </c>
      <c r="B9" t="inlineStr">
        <is>
          <t>0 line amount mismatch(es); 0 subtotal mismatch(es); 0 net amount mismatch(es); 3 quote(s) ValidUntil &lt; 2026-09-30 and not Accepted; blank source IDs are kept blank</t>
        </is>
      </c>
    </row>
    <row r="20">
      <c r="A20" s="3" t="inlineStr">
        <is>
          <t>合成測試資料 Synthetic lab data · template v1 · 請勿修改本行</t>
        </is>
      </c>
    </row>
  </sheetData>
  <mergeCells count="1">
    <mergeCell ref="A1:F1"/>
  </mergeCells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1" customWidth="1" min="3" max="3"/>
    <col width="12" customWidth="1" min="4" max="4"/>
    <col width="12" customWidth="1" min="5" max="5"/>
    <col width="10" customWidth="1" min="6" max="6"/>
    <col width="10" customWidth="1" min="7" max="7"/>
    <col width="10" customWidth="1" min="8" max="8"/>
    <col width="17" customWidth="1" min="9" max="9"/>
    <col width="11" customWidth="1" min="10" max="10"/>
    <col width="14" customWidth="1" min="11" max="11"/>
  </cols>
  <sheetData>
    <row r="1">
      <c r="A1" s="4" t="inlineStr">
        <is>
          <t>Quote headers</t>
        </is>
      </c>
    </row>
    <row r="2">
      <c r="A2" t="inlineStr">
        <is>
          <t>第 4 列為欄名，第 5 列起為資料；欄位格式見 Instructions。</t>
        </is>
      </c>
    </row>
    <row r="3"/>
    <row r="4">
      <c r="A4" s="5" t="inlineStr">
        <is>
          <t>QuoteID</t>
        </is>
      </c>
      <c r="B4" s="5" t="inlineStr">
        <is>
          <t>CustomerID</t>
        </is>
      </c>
      <c r="C4" s="5" t="inlineStr">
        <is>
          <t>ProjectID</t>
        </is>
      </c>
      <c r="D4" s="5" t="inlineStr">
        <is>
          <t>QuoteDate</t>
        </is>
      </c>
      <c r="E4" s="5" t="inlineStr">
        <is>
          <t>ValidUntil</t>
        </is>
      </c>
      <c r="F4" s="5" t="inlineStr">
        <is>
          <t>Status</t>
        </is>
      </c>
      <c r="G4" s="5" t="inlineStr">
        <is>
          <t>Currency</t>
        </is>
      </c>
      <c r="H4" s="5" t="inlineStr">
        <is>
          <t>Subtotal</t>
        </is>
      </c>
      <c r="I4" s="5" t="inlineStr">
        <is>
          <t>DiscountPercent</t>
        </is>
      </c>
      <c r="J4" s="5" t="inlineStr">
        <is>
          <t>NetAmount</t>
        </is>
      </c>
      <c r="K4" s="5" t="inlineStr">
        <is>
          <t>NetAmountTWD</t>
        </is>
      </c>
    </row>
    <row r="5">
      <c r="A5" s="9" t="inlineStr">
        <is>
          <t>Q0010</t>
        </is>
      </c>
      <c r="B5" s="9" t="inlineStr">
        <is>
          <t>C001</t>
        </is>
      </c>
      <c r="C5" s="9" t="inlineStr">
        <is>
          <t>P001</t>
        </is>
      </c>
      <c r="D5" s="10" t="inlineStr">
        <is>
          <t>2026-09-01</t>
        </is>
      </c>
      <c r="E5" s="10" t="inlineStr">
        <is>
          <t>2026-09-20</t>
        </is>
      </c>
      <c r="F5" t="inlineStr">
        <is>
          <t>Sent</t>
        </is>
      </c>
      <c r="G5" t="inlineStr">
        <is>
          <t>TWD</t>
        </is>
      </c>
      <c r="H5" s="11" t="n">
        <v>218557.5</v>
      </c>
      <c r="I5" t="n">
        <v>5</v>
      </c>
      <c r="J5" s="11" t="n">
        <v>207629.63</v>
      </c>
      <c r="K5" s="11" t="n">
        <v>207629.63</v>
      </c>
    </row>
    <row r="6">
      <c r="A6" s="9" t="inlineStr">
        <is>
          <t>Q0011</t>
        </is>
      </c>
      <c r="B6" s="9" t="inlineStr">
        <is>
          <t>C001</t>
        </is>
      </c>
      <c r="C6" s="9" t="inlineStr">
        <is>
          <t>P001</t>
        </is>
      </c>
      <c r="D6" s="10" t="inlineStr">
        <is>
          <t>2026-09-03</t>
        </is>
      </c>
      <c r="E6" s="10" t="inlineStr">
        <is>
          <t>2026-10-03</t>
        </is>
      </c>
      <c r="F6" t="inlineStr">
        <is>
          <t>Accepted</t>
        </is>
      </c>
      <c r="G6" t="inlineStr">
        <is>
          <t>USD</t>
        </is>
      </c>
      <c r="H6" s="11" t="n">
        <v>11500</v>
      </c>
      <c r="I6" t="n">
        <v>10</v>
      </c>
      <c r="J6" s="11" t="n">
        <v>10350</v>
      </c>
      <c r="K6" s="11" t="n">
        <v>331200</v>
      </c>
    </row>
    <row r="7">
      <c r="A7" s="9" t="inlineStr">
        <is>
          <t>Q0012</t>
        </is>
      </c>
      <c r="B7" s="9" t="inlineStr">
        <is>
          <t>C002</t>
        </is>
      </c>
      <c r="C7" s="9" t="inlineStr">
        <is>
          <t>P002</t>
        </is>
      </c>
      <c r="D7" s="10" t="inlineStr">
        <is>
          <t>2026-09-04</t>
        </is>
      </c>
      <c r="E7" s="10" t="inlineStr">
        <is>
          <t>2026-09-30</t>
        </is>
      </c>
      <c r="F7" t="inlineStr">
        <is>
          <t>Draft</t>
        </is>
      </c>
      <c r="G7" t="inlineStr">
        <is>
          <t>TWD</t>
        </is>
      </c>
      <c r="H7" s="11" t="n">
        <v>267825</v>
      </c>
      <c r="I7" t="n">
        <v>0</v>
      </c>
      <c r="J7" s="11" t="n">
        <v>267825</v>
      </c>
      <c r="K7" s="11" t="n">
        <v>267825</v>
      </c>
    </row>
    <row r="8">
      <c r="A8" s="9" t="inlineStr">
        <is>
          <t>Q0013</t>
        </is>
      </c>
      <c r="B8" s="9" t="inlineStr">
        <is>
          <t>C002</t>
        </is>
      </c>
      <c r="C8" s="9" t="inlineStr">
        <is>
          <t>P002</t>
        </is>
      </c>
      <c r="D8" s="10" t="inlineStr">
        <is>
          <t>2026-09-07</t>
        </is>
      </c>
      <c r="E8" s="10" t="inlineStr">
        <is>
          <t>2026-10-07</t>
        </is>
      </c>
      <c r="F8" t="inlineStr">
        <is>
          <t>Accepted</t>
        </is>
      </c>
      <c r="G8" t="inlineStr">
        <is>
          <t>EUR</t>
        </is>
      </c>
      <c r="H8" s="11" t="n">
        <v>2930.85</v>
      </c>
      <c r="I8" t="n">
        <v>5</v>
      </c>
      <c r="J8" s="11" t="n">
        <v>2784.31</v>
      </c>
      <c r="K8" s="11" t="n">
        <v>97450.85000000001</v>
      </c>
    </row>
    <row r="9">
      <c r="A9" s="9" t="inlineStr">
        <is>
          <t>Q0014</t>
        </is>
      </c>
      <c r="B9" s="9" t="inlineStr">
        <is>
          <t>C001</t>
        </is>
      </c>
      <c r="C9" s="9" t="inlineStr">
        <is>
          <t>P001</t>
        </is>
      </c>
      <c r="D9" s="10" t="inlineStr">
        <is>
          <t>2026-09-09</t>
        </is>
      </c>
      <c r="E9" s="10" t="inlineStr">
        <is>
          <t>2026-09-28</t>
        </is>
      </c>
      <c r="F9" t="inlineStr">
        <is>
          <t>Expired</t>
        </is>
      </c>
      <c r="G9" t="inlineStr">
        <is>
          <t>EUR</t>
        </is>
      </c>
      <c r="H9" s="11" t="n">
        <v>18072</v>
      </c>
      <c r="I9" t="n">
        <v>0</v>
      </c>
      <c r="J9" s="11" t="n">
        <v>18072</v>
      </c>
      <c r="K9" s="11" t="n">
        <v>632520</v>
      </c>
    </row>
    <row r="10">
      <c r="A10" s="9" t="inlineStr">
        <is>
          <t>Q0015</t>
        </is>
      </c>
      <c r="B10" s="9" t="inlineStr">
        <is>
          <t>C003</t>
        </is>
      </c>
      <c r="C10" s="9" t="inlineStr">
        <is>
          <t>P004</t>
        </is>
      </c>
      <c r="D10" s="10" t="inlineStr">
        <is>
          <t>2026-09-11</t>
        </is>
      </c>
      <c r="E10" s="10" t="inlineStr">
        <is>
          <t>2026-09-25</t>
        </is>
      </c>
      <c r="F10" t="inlineStr">
        <is>
          <t>Accepted</t>
        </is>
      </c>
      <c r="G10" t="inlineStr">
        <is>
          <t>TWD</t>
        </is>
      </c>
      <c r="H10" s="11" t="n">
        <v>313500</v>
      </c>
      <c r="I10" t="n">
        <v>10</v>
      </c>
      <c r="J10" s="11" t="n">
        <v>282150</v>
      </c>
      <c r="K10" s="11" t="n">
        <v>282150</v>
      </c>
    </row>
    <row r="11">
      <c r="A11" s="9" t="inlineStr">
        <is>
          <t>Q0016</t>
        </is>
      </c>
      <c r="B11" s="9" t="inlineStr">
        <is>
          <t>C005</t>
        </is>
      </c>
      <c r="C11" s="9" t="inlineStr"/>
      <c r="D11" s="10" t="inlineStr">
        <is>
          <t>2026-09-14</t>
        </is>
      </c>
      <c r="E11" s="10" t="inlineStr">
        <is>
          <t>2026-10-14</t>
        </is>
      </c>
      <c r="F11" t="inlineStr">
        <is>
          <t>Sent</t>
        </is>
      </c>
      <c r="G11" t="inlineStr">
        <is>
          <t>USD</t>
        </is>
      </c>
      <c r="H11" s="11" t="n">
        <v>256.5</v>
      </c>
      <c r="I11" t="n">
        <v>5</v>
      </c>
      <c r="J11" s="11" t="n">
        <v>243.68</v>
      </c>
      <c r="K11" s="11" t="n">
        <v>7797.76</v>
      </c>
    </row>
    <row r="12">
      <c r="A12" s="9" t="inlineStr">
        <is>
          <t>Q0017</t>
        </is>
      </c>
      <c r="B12" s="9" t="inlineStr">
        <is>
          <t>C007</t>
        </is>
      </c>
      <c r="C12" s="9" t="inlineStr">
        <is>
          <t>P005</t>
        </is>
      </c>
      <c r="D12" s="10" t="inlineStr">
        <is>
          <t>2026-09-17</t>
        </is>
      </c>
      <c r="E12" s="10" t="inlineStr">
        <is>
          <t>2026-09-29</t>
        </is>
      </c>
      <c r="F12" t="inlineStr">
        <is>
          <t>Sent</t>
        </is>
      </c>
      <c r="G12" t="inlineStr">
        <is>
          <t>TWD</t>
        </is>
      </c>
      <c r="H12" s="11" t="n">
        <v>433800</v>
      </c>
      <c r="I12" t="n">
        <v>0</v>
      </c>
      <c r="J12" s="11" t="n">
        <v>433800</v>
      </c>
      <c r="K12" s="11" t="n">
        <v>433800</v>
      </c>
    </row>
    <row r="13">
      <c r="A13" s="9" t="inlineStr">
        <is>
          <t>Q0018</t>
        </is>
      </c>
      <c r="B13" s="9" t="inlineStr">
        <is>
          <t>C001</t>
        </is>
      </c>
      <c r="C13" s="9" t="inlineStr">
        <is>
          <t>P001</t>
        </is>
      </c>
      <c r="D13" s="10" t="inlineStr">
        <is>
          <t>2026-09-21</t>
        </is>
      </c>
      <c r="E13" s="10" t="inlineStr">
        <is>
          <t>2026-10-21</t>
        </is>
      </c>
      <c r="F13" t="inlineStr">
        <is>
          <t>Draft</t>
        </is>
      </c>
      <c r="G13" t="inlineStr">
        <is>
          <t>TWD</t>
        </is>
      </c>
      <c r="H13" s="11" t="n">
        <v>572130</v>
      </c>
      <c r="I13" t="n">
        <v>10</v>
      </c>
      <c r="J13" s="11" t="n">
        <v>514917</v>
      </c>
      <c r="K13" s="11" t="n">
        <v>514917</v>
      </c>
    </row>
    <row r="14">
      <c r="A14" s="9" t="inlineStr">
        <is>
          <t>Q0019</t>
        </is>
      </c>
      <c r="B14" s="9" t="inlineStr">
        <is>
          <t>C004</t>
        </is>
      </c>
      <c r="C14" s="9" t="inlineStr"/>
      <c r="D14" s="10" t="inlineStr">
        <is>
          <t>2026-09-24</t>
        </is>
      </c>
      <c r="E14" s="10" t="inlineStr">
        <is>
          <t>2026-10-24</t>
        </is>
      </c>
      <c r="F14" t="inlineStr">
        <is>
          <t>Sent</t>
        </is>
      </c>
      <c r="G14" t="inlineStr">
        <is>
          <t>USD</t>
        </is>
      </c>
      <c r="H14" s="11" t="n">
        <v>256.5</v>
      </c>
      <c r="I14" t="n">
        <v>0</v>
      </c>
      <c r="J14" s="11" t="n">
        <v>256.5</v>
      </c>
      <c r="K14" s="11" t="n">
        <v>8208</v>
      </c>
    </row>
    <row r="15">
      <c r="A15" s="9" t="inlineStr">
        <is>
          <t>Q0020</t>
        </is>
      </c>
      <c r="B15" s="9" t="inlineStr">
        <is>
          <t>C006</t>
        </is>
      </c>
      <c r="C15" s="9" t="inlineStr"/>
      <c r="D15" s="10" t="inlineStr">
        <is>
          <t>2026-09-28</t>
        </is>
      </c>
      <c r="E15" s="10" t="inlineStr">
        <is>
          <t>2026-10-28</t>
        </is>
      </c>
      <c r="F15" t="inlineStr">
        <is>
          <t>Accepted</t>
        </is>
      </c>
      <c r="G15" t="inlineStr">
        <is>
          <t>EUR</t>
        </is>
      </c>
      <c r="H15" s="11" t="n">
        <v>5126.42</v>
      </c>
      <c r="I15" t="n">
        <v>5</v>
      </c>
      <c r="J15" s="11" t="n">
        <v>4870.1</v>
      </c>
      <c r="K15" s="11" t="n">
        <v>170453.5</v>
      </c>
    </row>
    <row r="16">
      <c r="A16" s="9" t="inlineStr">
        <is>
          <t>Q0021</t>
        </is>
      </c>
      <c r="B16" s="9" t="inlineStr">
        <is>
          <t>C008</t>
        </is>
      </c>
      <c r="C16" s="9" t="inlineStr"/>
      <c r="D16" s="10" t="inlineStr">
        <is>
          <t>2026-09-30</t>
        </is>
      </c>
      <c r="E16" s="10" t="inlineStr">
        <is>
          <t>2026-10-30</t>
        </is>
      </c>
      <c r="F16" t="inlineStr">
        <is>
          <t>Draft</t>
        </is>
      </c>
      <c r="G16" t="inlineStr">
        <is>
          <t>TWD</t>
        </is>
      </c>
      <c r="H16" s="11" t="n">
        <v>129600</v>
      </c>
      <c r="I16" t="n">
        <v>0</v>
      </c>
      <c r="J16" s="11" t="n">
        <v>129600</v>
      </c>
      <c r="K16" s="11" t="n">
        <v>129600</v>
      </c>
    </row>
  </sheetData>
  <autoFilter ref="A4:K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24" customWidth="1" min="3" max="3"/>
    <col width="10" customWidth="1" min="4" max="4"/>
    <col width="11" customWidth="1" min="5" max="5"/>
    <col width="12" customWidth="1" min="6" max="6"/>
  </cols>
  <sheetData>
    <row r="1">
      <c r="A1" s="4" t="inlineStr">
        <is>
          <t>Quote line items</t>
        </is>
      </c>
    </row>
    <row r="2">
      <c r="A2" t="inlineStr">
        <is>
          <t>第 4 列為欄名，第 5 列起為資料；欄位格式見 Instructions。</t>
        </is>
      </c>
    </row>
    <row r="3"/>
    <row r="4">
      <c r="A4" s="5" t="inlineStr">
        <is>
          <t>QuoteID</t>
        </is>
      </c>
      <c r="B4" s="5" t="inlineStr">
        <is>
          <t>ProductID</t>
        </is>
      </c>
      <c r="C4" s="5" t="inlineStr">
        <is>
          <t>ProductName</t>
        </is>
      </c>
      <c r="D4" s="5" t="inlineStr">
        <is>
          <t>Quantity</t>
        </is>
      </c>
      <c r="E4" s="5" t="inlineStr">
        <is>
          <t>UnitPrice</t>
        </is>
      </c>
      <c r="F4" s="5" t="inlineStr">
        <is>
          <t>LineAmount</t>
        </is>
      </c>
    </row>
    <row r="5">
      <c r="A5" s="9" t="inlineStr">
        <is>
          <t>Q0010</t>
        </is>
      </c>
      <c r="B5" s="9" t="inlineStr">
        <is>
          <t>MAT-1001</t>
        </is>
      </c>
      <c r="C5" t="inlineStr">
        <is>
          <t>Signal Analyzer Module</t>
        </is>
      </c>
      <c r="D5" t="n">
        <v>5</v>
      </c>
      <c r="E5" s="11" t="n">
        <v>37500</v>
      </c>
      <c r="F5" s="11" t="n">
        <v>187500</v>
      </c>
    </row>
    <row r="6">
      <c r="A6" s="9" t="inlineStr">
        <is>
          <t>Q0010</t>
        </is>
      </c>
      <c r="B6" s="9" t="inlineStr">
        <is>
          <t>MAT-1003</t>
        </is>
      </c>
      <c r="C6" t="inlineStr">
        <is>
          <t>校正服務 (Calibration)</t>
        </is>
      </c>
      <c r="D6" t="n">
        <v>1</v>
      </c>
      <c r="E6" s="11" t="n">
        <v>12600</v>
      </c>
      <c r="F6" s="11" t="n">
        <v>12600</v>
      </c>
    </row>
    <row r="7">
      <c r="A7" s="9" t="inlineStr">
        <is>
          <t>Q0010</t>
        </is>
      </c>
      <c r="B7" s="9" t="inlineStr">
        <is>
          <t>MAT-1005</t>
        </is>
      </c>
      <c r="C7" t="inlineStr">
        <is>
          <t>Test Fixture 治具</t>
        </is>
      </c>
      <c r="D7" t="n">
        <v>1</v>
      </c>
      <c r="E7" s="11" t="n">
        <v>18457.5</v>
      </c>
      <c r="F7" s="11" t="n">
        <v>18457.5</v>
      </c>
    </row>
    <row r="8">
      <c r="A8" s="9" t="inlineStr">
        <is>
          <t>Q0011</t>
        </is>
      </c>
      <c r="B8" s="9" t="inlineStr">
        <is>
          <t>MAT-1004</t>
        </is>
      </c>
      <c r="C8" t="inlineStr">
        <is>
          <t>Shielding Box</t>
        </is>
      </c>
      <c r="D8" t="n">
        <v>5</v>
      </c>
      <c r="E8" s="11" t="n">
        <v>2300</v>
      </c>
      <c r="F8" s="11" t="n">
        <v>11500</v>
      </c>
    </row>
    <row r="9">
      <c r="A9" s="9" t="inlineStr">
        <is>
          <t>Q0012</t>
        </is>
      </c>
      <c r="B9" s="9" t="inlineStr">
        <is>
          <t>MAT-1001</t>
        </is>
      </c>
      <c r="C9" t="inlineStr">
        <is>
          <t>Signal Analyzer Module</t>
        </is>
      </c>
      <c r="D9" t="n">
        <v>2</v>
      </c>
      <c r="E9" s="11" t="n">
        <v>37500</v>
      </c>
      <c r="F9" s="11" t="n">
        <v>75000</v>
      </c>
    </row>
    <row r="10">
      <c r="A10" s="9" t="inlineStr">
        <is>
          <t>Q0012</t>
        </is>
      </c>
      <c r="B10" s="9" t="inlineStr">
        <is>
          <t>MAT-1002</t>
        </is>
      </c>
      <c r="C10" t="inlineStr">
        <is>
          <t>RF Cable Set</t>
        </is>
      </c>
      <c r="D10" t="n">
        <v>5</v>
      </c>
      <c r="E10" s="11" t="n">
        <v>2565</v>
      </c>
      <c r="F10" s="11" t="n">
        <v>12825</v>
      </c>
    </row>
    <row r="11">
      <c r="A11" s="9" t="inlineStr">
        <is>
          <t>Q0012</t>
        </is>
      </c>
      <c r="B11" s="9" t="inlineStr">
        <is>
          <t>MAT-1007</t>
        </is>
      </c>
      <c r="C11" t="inlineStr">
        <is>
          <t>Software License (1y)</t>
        </is>
      </c>
      <c r="D11" t="n">
        <v>4</v>
      </c>
      <c r="E11" s="11" t="n">
        <v>45000</v>
      </c>
      <c r="F11" s="11" t="n">
        <v>180000</v>
      </c>
    </row>
    <row r="12">
      <c r="A12" s="9" t="inlineStr">
        <is>
          <t>Q0013</t>
        </is>
      </c>
      <c r="B12" s="9" t="inlineStr">
        <is>
          <t>MAT-1002</t>
        </is>
      </c>
      <c r="C12" t="inlineStr">
        <is>
          <t>RF Cable Set</t>
        </is>
      </c>
      <c r="D12" t="n">
        <v>3</v>
      </c>
      <c r="E12" s="11" t="n">
        <v>76.95</v>
      </c>
      <c r="F12" s="11" t="n">
        <v>230.85</v>
      </c>
    </row>
    <row r="13">
      <c r="A13" s="9" t="inlineStr">
        <is>
          <t>Q0013</t>
        </is>
      </c>
      <c r="B13" s="9" t="inlineStr">
        <is>
          <t>MAT-1007</t>
        </is>
      </c>
      <c r="C13" t="inlineStr">
        <is>
          <t>Software License (1y)</t>
        </is>
      </c>
      <c r="D13" t="n">
        <v>2</v>
      </c>
      <c r="E13" s="11" t="n">
        <v>1350</v>
      </c>
      <c r="F13" s="11" t="n">
        <v>2700</v>
      </c>
    </row>
    <row r="14">
      <c r="A14" s="9" t="inlineStr">
        <is>
          <t>Q0014</t>
        </is>
      </c>
      <c r="B14" s="9" t="inlineStr">
        <is>
          <t>MAT-1001</t>
        </is>
      </c>
      <c r="C14" t="inlineStr">
        <is>
          <t>Signal Analyzer Module</t>
        </is>
      </c>
      <c r="D14" t="n">
        <v>4</v>
      </c>
      <c r="E14" s="11" t="n">
        <v>1125</v>
      </c>
      <c r="F14" s="11" t="n">
        <v>4500</v>
      </c>
    </row>
    <row r="15">
      <c r="A15" s="9" t="inlineStr">
        <is>
          <t>Q0014</t>
        </is>
      </c>
      <c r="B15" s="9" t="inlineStr">
        <is>
          <t>MAT-1004</t>
        </is>
      </c>
      <c r="C15" t="inlineStr">
        <is>
          <t>Shielding Box</t>
        </is>
      </c>
      <c r="D15" t="n">
        <v>4</v>
      </c>
      <c r="E15" s="11" t="n">
        <v>2070</v>
      </c>
      <c r="F15" s="11" t="n">
        <v>8280</v>
      </c>
    </row>
    <row r="16">
      <c r="A16" s="9" t="inlineStr">
        <is>
          <t>Q0014</t>
        </is>
      </c>
      <c r="B16" s="9" t="inlineStr">
        <is>
          <t>MAT-1006</t>
        </is>
      </c>
      <c r="C16" t="inlineStr">
        <is>
          <t>Power Sensor</t>
        </is>
      </c>
      <c r="D16" t="n">
        <v>6</v>
      </c>
      <c r="E16" s="11" t="n">
        <v>882</v>
      </c>
      <c r="F16" s="11" t="n">
        <v>5292</v>
      </c>
    </row>
    <row r="17">
      <c r="A17" s="9" t="inlineStr">
        <is>
          <t>Q0015</t>
        </is>
      </c>
      <c r="B17" s="9" t="inlineStr">
        <is>
          <t>MAT-1001</t>
        </is>
      </c>
      <c r="C17" t="inlineStr">
        <is>
          <t>Signal Analyzer Module</t>
        </is>
      </c>
      <c r="D17" t="n">
        <v>1</v>
      </c>
      <c r="E17" s="11" t="n">
        <v>37500</v>
      </c>
      <c r="F17" s="11" t="n">
        <v>37500</v>
      </c>
    </row>
    <row r="18">
      <c r="A18" s="9" t="inlineStr">
        <is>
          <t>Q0015</t>
        </is>
      </c>
      <c r="B18" s="9" t="inlineStr">
        <is>
          <t>MAT-1004</t>
        </is>
      </c>
      <c r="C18" t="inlineStr">
        <is>
          <t>Shielding Box</t>
        </is>
      </c>
      <c r="D18" t="n">
        <v>4</v>
      </c>
      <c r="E18" s="11" t="n">
        <v>69000</v>
      </c>
      <c r="F18" s="11" t="n">
        <v>276000</v>
      </c>
    </row>
    <row r="19">
      <c r="A19" s="9" t="inlineStr">
        <is>
          <t>Q0016</t>
        </is>
      </c>
      <c r="B19" s="9" t="inlineStr">
        <is>
          <t>MAT-1002</t>
        </is>
      </c>
      <c r="C19" t="inlineStr">
        <is>
          <t>RF Cable Set</t>
        </is>
      </c>
      <c r="D19" t="n">
        <v>3</v>
      </c>
      <c r="E19" s="11" t="n">
        <v>85.5</v>
      </c>
      <c r="F19" s="11" t="n">
        <v>256.5</v>
      </c>
    </row>
    <row r="20">
      <c r="A20" s="9" t="inlineStr">
        <is>
          <t>Q0017</t>
        </is>
      </c>
      <c r="B20" s="9" t="inlineStr">
        <is>
          <t>MAT-1003</t>
        </is>
      </c>
      <c r="C20" t="inlineStr">
        <is>
          <t>校正服務 (Calibration)</t>
        </is>
      </c>
      <c r="D20" t="n">
        <v>6</v>
      </c>
      <c r="E20" s="11" t="n">
        <v>12600</v>
      </c>
      <c r="F20" s="11" t="n">
        <v>75600</v>
      </c>
    </row>
    <row r="21">
      <c r="A21" s="9" t="inlineStr">
        <is>
          <t>Q0017</t>
        </is>
      </c>
      <c r="B21" s="9" t="inlineStr">
        <is>
          <t>MAT-1006</t>
        </is>
      </c>
      <c r="C21" t="inlineStr">
        <is>
          <t>Power Sensor</t>
        </is>
      </c>
      <c r="D21" t="n">
        <v>3</v>
      </c>
      <c r="E21" s="11" t="n">
        <v>29400</v>
      </c>
      <c r="F21" s="11" t="n">
        <v>88200</v>
      </c>
    </row>
    <row r="22">
      <c r="A22" s="9" t="inlineStr">
        <is>
          <t>Q0017</t>
        </is>
      </c>
      <c r="B22" s="9" t="inlineStr">
        <is>
          <t>MAT-1007</t>
        </is>
      </c>
      <c r="C22" t="inlineStr">
        <is>
          <t>Software License (1y)</t>
        </is>
      </c>
      <c r="D22" t="n">
        <v>6</v>
      </c>
      <c r="E22" s="11" t="n">
        <v>45000</v>
      </c>
      <c r="F22" s="11" t="n">
        <v>270000</v>
      </c>
    </row>
    <row r="23">
      <c r="A23" s="9" t="inlineStr">
        <is>
          <t>Q0018</t>
        </is>
      </c>
      <c r="B23" s="9" t="inlineStr">
        <is>
          <t>MAT-1001</t>
        </is>
      </c>
      <c r="C23" t="inlineStr">
        <is>
          <t>Signal Analyzer Module</t>
        </is>
      </c>
      <c r="D23" t="n">
        <v>6</v>
      </c>
      <c r="E23" s="11" t="n">
        <v>37500</v>
      </c>
      <c r="F23" s="11" t="n">
        <v>225000</v>
      </c>
    </row>
    <row r="24">
      <c r="A24" s="9" t="inlineStr">
        <is>
          <t>Q0018</t>
        </is>
      </c>
      <c r="B24" s="9" t="inlineStr">
        <is>
          <t>MAT-1002</t>
        </is>
      </c>
      <c r="C24" t="inlineStr">
        <is>
          <t>RF Cable Set</t>
        </is>
      </c>
      <c r="D24" t="n">
        <v>2</v>
      </c>
      <c r="E24" s="11" t="n">
        <v>2565</v>
      </c>
      <c r="F24" s="11" t="n">
        <v>5130</v>
      </c>
    </row>
    <row r="25">
      <c r="A25" s="9" t="inlineStr">
        <is>
          <t>Q0018</t>
        </is>
      </c>
      <c r="B25" s="9" t="inlineStr">
        <is>
          <t>MAT-1004</t>
        </is>
      </c>
      <c r="C25" t="inlineStr">
        <is>
          <t>Shielding Box</t>
        </is>
      </c>
      <c r="D25" t="n">
        <v>3</v>
      </c>
      <c r="E25" s="11" t="n">
        <v>69000</v>
      </c>
      <c r="F25" s="11" t="n">
        <v>207000</v>
      </c>
    </row>
    <row r="26">
      <c r="A26" s="9" t="inlineStr">
        <is>
          <t>Q0018</t>
        </is>
      </c>
      <c r="B26" s="9" t="inlineStr">
        <is>
          <t>MAT-1007</t>
        </is>
      </c>
      <c r="C26" t="inlineStr">
        <is>
          <t>Software License (1y)</t>
        </is>
      </c>
      <c r="D26" t="n">
        <v>3</v>
      </c>
      <c r="E26" s="11" t="n">
        <v>45000</v>
      </c>
      <c r="F26" s="11" t="n">
        <v>135000</v>
      </c>
    </row>
    <row r="27">
      <c r="A27" s="9" t="inlineStr">
        <is>
          <t>Q0019</t>
        </is>
      </c>
      <c r="B27" s="9" t="inlineStr">
        <is>
          <t>MAT-1002</t>
        </is>
      </c>
      <c r="C27" t="inlineStr">
        <is>
          <t>RF Cable Set</t>
        </is>
      </c>
      <c r="D27" t="n">
        <v>3</v>
      </c>
      <c r="E27" s="11" t="n">
        <v>85.5</v>
      </c>
      <c r="F27" s="11" t="n">
        <v>256.5</v>
      </c>
    </row>
    <row r="28">
      <c r="A28" s="9" t="inlineStr">
        <is>
          <t>Q0020</t>
        </is>
      </c>
      <c r="B28" s="9" t="inlineStr">
        <is>
          <t>MAT-1003</t>
        </is>
      </c>
      <c r="C28" t="inlineStr">
        <is>
          <t>校正服務 (Calibration)</t>
        </is>
      </c>
      <c r="D28" t="n">
        <v>3</v>
      </c>
      <c r="E28" s="11" t="n">
        <v>378</v>
      </c>
      <c r="F28" s="11" t="n">
        <v>1134</v>
      </c>
    </row>
    <row r="29">
      <c r="A29" s="9" t="inlineStr">
        <is>
          <t>Q0020</t>
        </is>
      </c>
      <c r="B29" s="9" t="inlineStr">
        <is>
          <t>MAT-1005</t>
        </is>
      </c>
      <c r="C29" t="inlineStr">
        <is>
          <t>Test Fixture 治具</t>
        </is>
      </c>
      <c r="D29" t="n">
        <v>4</v>
      </c>
      <c r="E29" s="11" t="n">
        <v>553.73</v>
      </c>
      <c r="F29" s="11" t="n">
        <v>2214.92</v>
      </c>
    </row>
    <row r="30">
      <c r="A30" s="9" t="inlineStr">
        <is>
          <t>Q0020</t>
        </is>
      </c>
      <c r="B30" s="9" t="inlineStr">
        <is>
          <t>MAT-1007</t>
        </is>
      </c>
      <c r="C30" t="inlineStr">
        <is>
          <t>Software License (1y)</t>
        </is>
      </c>
      <c r="D30" t="n">
        <v>1</v>
      </c>
      <c r="E30" s="11" t="n">
        <v>1350</v>
      </c>
      <c r="F30" s="11" t="n">
        <v>1350</v>
      </c>
    </row>
    <row r="31">
      <c r="A31" s="9" t="inlineStr">
        <is>
          <t>Q0020</t>
        </is>
      </c>
      <c r="B31" s="9" t="inlineStr">
        <is>
          <t>MAT-1008</t>
        </is>
      </c>
      <c r="C31" t="inlineStr">
        <is>
          <t>現場安裝工時</t>
        </is>
      </c>
      <c r="D31" t="n">
        <v>5</v>
      </c>
      <c r="E31" s="11" t="n">
        <v>85.5</v>
      </c>
      <c r="F31" s="11" t="n">
        <v>427.5</v>
      </c>
    </row>
    <row r="32">
      <c r="A32" s="9" t="inlineStr">
        <is>
          <t>Q0021</t>
        </is>
      </c>
      <c r="B32" s="9" t="inlineStr">
        <is>
          <t>MAT-1001</t>
        </is>
      </c>
      <c r="C32" t="inlineStr">
        <is>
          <t>Signal Analyzer Module</t>
        </is>
      </c>
      <c r="D32" t="n">
        <v>3</v>
      </c>
      <c r="E32" s="11" t="n">
        <v>37500</v>
      </c>
      <c r="F32" s="11" t="n">
        <v>112500</v>
      </c>
    </row>
    <row r="33">
      <c r="A33" s="9" t="inlineStr">
        <is>
          <t>Q0021</t>
        </is>
      </c>
      <c r="B33" s="9" t="inlineStr">
        <is>
          <t>MAT-1008</t>
        </is>
      </c>
      <c r="C33" t="inlineStr">
        <is>
          <t>現場安裝工時</t>
        </is>
      </c>
      <c r="D33" t="n">
        <v>6</v>
      </c>
      <c r="E33" s="11" t="n">
        <v>2850</v>
      </c>
      <c r="F33" s="11" t="n">
        <v>17100</v>
      </c>
    </row>
  </sheetData>
  <autoFilter ref="A4:F4"/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pane="bottomLeft" activeCell="A1" sqref="A1"/>
    </sheetView>
  </sheetViews>
  <sheetFormatPr baseColWidth="8" defaultRowHeight="15"/>
  <cols>
    <col width="15" customWidth="1" min="1" max="1"/>
    <col width="21" customWidth="1" min="2" max="2"/>
    <col width="10" customWidth="1" min="3" max="3"/>
    <col width="11" customWidth="1" min="4" max="4"/>
    <col width="11" customWidth="1" min="5" max="5"/>
    <col width="10" customWidth="1" min="6" max="6"/>
  </cols>
  <sheetData>
    <row r="1">
      <c r="A1" s="4" t="inlineStr">
        <is>
          <t>Quote summary</t>
        </is>
      </c>
    </row>
    <row r="2">
      <c r="A2" s="2" t="inlineStr">
        <is>
          <t>總計 TWD Totals</t>
        </is>
      </c>
      <c r="B2" s="12">
        <f>SUM(Quotes!K5:K16)</f>
        <v/>
      </c>
    </row>
    <row r="3"/>
    <row r="4">
      <c r="A4" s="5" t="inlineStr">
        <is>
          <t>Group</t>
        </is>
      </c>
      <c r="B4" s="5" t="inlineStr">
        <is>
          <t>SubGroup</t>
        </is>
      </c>
      <c r="C4" s="5" t="inlineStr">
        <is>
          <t>Currency</t>
        </is>
      </c>
      <c r="D4" s="5" t="inlineStr">
        <is>
          <t>Amount</t>
        </is>
      </c>
      <c r="E4" s="5" t="inlineStr">
        <is>
          <t>AmountTWD</t>
        </is>
      </c>
      <c r="F4" s="5" t="inlineStr">
        <is>
          <t>Count</t>
        </is>
      </c>
    </row>
    <row r="5">
      <c r="A5" t="inlineStr">
        <is>
          <t>Status</t>
        </is>
      </c>
      <c r="B5" t="inlineStr">
        <is>
          <t>Accepted</t>
        </is>
      </c>
      <c r="C5" t="inlineStr">
        <is>
          <t>EUR</t>
        </is>
      </c>
      <c r="D5" s="11" t="n">
        <v>7654.41</v>
      </c>
      <c r="E5" s="11" t="n">
        <v>267904.35</v>
      </c>
      <c r="F5" t="n">
        <v>2</v>
      </c>
    </row>
    <row r="6">
      <c r="A6" t="inlineStr">
        <is>
          <t>Status</t>
        </is>
      </c>
      <c r="B6" t="inlineStr">
        <is>
          <t>Accepted</t>
        </is>
      </c>
      <c r="C6" t="inlineStr">
        <is>
          <t>TWD</t>
        </is>
      </c>
      <c r="D6" s="11" t="n">
        <v>282150</v>
      </c>
      <c r="E6" s="11" t="n">
        <v>282150</v>
      </c>
      <c r="F6" t="n">
        <v>1</v>
      </c>
    </row>
    <row r="7">
      <c r="A7" t="inlineStr">
        <is>
          <t>Status</t>
        </is>
      </c>
      <c r="B7" t="inlineStr">
        <is>
          <t>Accepted</t>
        </is>
      </c>
      <c r="C7" t="inlineStr">
        <is>
          <t>USD</t>
        </is>
      </c>
      <c r="D7" s="11" t="n">
        <v>10350</v>
      </c>
      <c r="E7" s="11" t="n">
        <v>331200</v>
      </c>
      <c r="F7" t="n">
        <v>1</v>
      </c>
    </row>
    <row r="8">
      <c r="A8" t="inlineStr">
        <is>
          <t>Status</t>
        </is>
      </c>
      <c r="B8" t="inlineStr">
        <is>
          <t>Draft</t>
        </is>
      </c>
      <c r="C8" t="inlineStr">
        <is>
          <t>TWD</t>
        </is>
      </c>
      <c r="D8" s="11" t="n">
        <v>912342</v>
      </c>
      <c r="E8" s="11" t="n">
        <v>912342</v>
      </c>
      <c r="F8" t="n">
        <v>3</v>
      </c>
    </row>
    <row r="9">
      <c r="A9" t="inlineStr">
        <is>
          <t>Status</t>
        </is>
      </c>
      <c r="B9" t="inlineStr">
        <is>
          <t>Expired</t>
        </is>
      </c>
      <c r="C9" t="inlineStr">
        <is>
          <t>EUR</t>
        </is>
      </c>
      <c r="D9" s="11" t="n">
        <v>18072</v>
      </c>
      <c r="E9" s="11" t="n">
        <v>632520</v>
      </c>
      <c r="F9" t="n">
        <v>1</v>
      </c>
    </row>
    <row r="10">
      <c r="A10" t="inlineStr">
        <is>
          <t>Status</t>
        </is>
      </c>
      <c r="B10" t="inlineStr">
        <is>
          <t>Sent</t>
        </is>
      </c>
      <c r="C10" t="inlineStr">
        <is>
          <t>TWD</t>
        </is>
      </c>
      <c r="D10" s="11" t="n">
        <v>641429.63</v>
      </c>
      <c r="E10" s="11" t="n">
        <v>641429.63</v>
      </c>
      <c r="F10" t="n">
        <v>2</v>
      </c>
    </row>
    <row r="11">
      <c r="A11" t="inlineStr">
        <is>
          <t>Status</t>
        </is>
      </c>
      <c r="B11" t="inlineStr">
        <is>
          <t>Sent</t>
        </is>
      </c>
      <c r="C11" t="inlineStr">
        <is>
          <t>USD</t>
        </is>
      </c>
      <c r="D11" s="11" t="n">
        <v>500.18</v>
      </c>
      <c r="E11" s="11" t="n">
        <v>16005.76</v>
      </c>
      <c r="F11" t="n">
        <v>2</v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0" customWidth="1" min="1" max="1"/>
    <col width="18" customWidth="1" min="2" max="2"/>
    <col width="100" customWidth="1" min="3" max="3"/>
  </cols>
  <sheetData>
    <row r="1">
      <c r="A1" s="4" t="inlineStr">
        <is>
          <t>填寫說明 Instructions（請勿修改本工作表）</t>
        </is>
      </c>
    </row>
    <row r="3">
      <c r="A3" s="7" t="inlineStr">
        <is>
          <t>Sheet</t>
        </is>
      </c>
      <c r="B3" s="7" t="inlineStr">
        <is>
          <t>Cell / Range</t>
        </is>
      </c>
      <c r="C3" s="7" t="inlineStr">
        <is>
          <t>Content and rule</t>
        </is>
      </c>
    </row>
    <row r="4">
      <c r="A4" t="inlineStr">
        <is>
          <t>Report</t>
        </is>
      </c>
      <c r="B4" t="inlineStr">
        <is>
          <t>A1:F1</t>
        </is>
      </c>
      <c r="C4" s="8" t="inlineStr">
        <is>
          <t>合併儲存格標題，保留不改。</t>
        </is>
      </c>
    </row>
    <row r="5">
      <c r="A5" t="inlineStr">
        <is>
          <t>Report</t>
        </is>
      </c>
      <c r="B5" t="inlineStr">
        <is>
          <t>B3 / D3</t>
        </is>
      </c>
      <c r="C5" s="8" t="inlineStr">
        <is>
          <t>查詢期間起 / 迄，格式 YYYY-MM-DD（含起訖兩日）。</t>
        </is>
      </c>
    </row>
    <row r="6">
      <c r="A6" t="inlineStr">
        <is>
          <t>Report</t>
        </is>
      </c>
      <c r="B6" t="inlineStr">
        <is>
          <t>B4</t>
        </is>
      </c>
      <c r="C6" s="8" t="inlineStr">
        <is>
          <t>本次查詢條件的文字說明。</t>
        </is>
      </c>
    </row>
    <row r="7">
      <c r="A7" t="inlineStr">
        <is>
          <t>Report</t>
        </is>
      </c>
      <c r="B7" t="inlineStr">
        <is>
          <t>B5</t>
        </is>
      </c>
      <c r="C7" s="8" t="inlineStr">
        <is>
          <t>產出時間（ISO 8601）。</t>
        </is>
      </c>
    </row>
    <row r="8">
      <c r="A8" t="inlineStr">
        <is>
          <t>Report</t>
        </is>
      </c>
      <c r="B8" t="inlineStr">
        <is>
          <t>B7 / D7</t>
        </is>
      </c>
      <c r="C8" s="8" t="inlineStr">
        <is>
          <t>資料來源系統名稱 / 取得資料的時間；多個來源以分號分隔。</t>
        </is>
      </c>
    </row>
    <row r="9">
      <c r="A9" t="inlineStr">
        <is>
          <t>Report</t>
        </is>
      </c>
      <c r="B9" t="inlineStr">
        <is>
          <t>B9</t>
        </is>
      </c>
      <c r="C9" s="8" t="inlineStr">
        <is>
          <t>備註：缺少的資料、例外或限制。</t>
        </is>
      </c>
    </row>
    <row r="10">
      <c r="A10" t="inlineStr">
        <is>
          <t>Report</t>
        </is>
      </c>
      <c r="B10" t="inlineStr">
        <is>
          <t>A20 與頁尾</t>
        </is>
      </c>
      <c r="C10" s="8" t="inlineStr">
        <is>
          <t>固定 footer，保留不改。</t>
        </is>
      </c>
    </row>
    <row r="11">
      <c r="A11" t="inlineStr">
        <is>
          <t>All detail sheets</t>
        </is>
      </c>
      <c r="B11" t="inlineStr">
        <is>
          <t>Row 4</t>
        </is>
      </c>
      <c r="C11" s="8" t="inlineStr">
        <is>
          <t>欄名，保留不改；資料自第 5 列起，一筆一列，不留空列。</t>
        </is>
      </c>
    </row>
    <row r="12">
      <c r="A12" t="inlineStr">
        <is>
          <t>All detail sheets</t>
        </is>
      </c>
      <c r="B12" t="inlineStr">
        <is>
          <t>Formats</t>
        </is>
      </c>
      <c r="C12" s="8" t="inlineStr">
        <is>
          <t>ID 一律存為文字（保留前導零）；日期 YYYY-MM-DD；金額為數字並使用兩位小數格式 0.00。</t>
        </is>
      </c>
    </row>
    <row r="13">
      <c r="A13" t="inlineStr">
        <is>
          <t>All sheets</t>
        </is>
      </c>
      <c r="B13" t="inlineStr">
        <is>
          <t>-</t>
        </is>
      </c>
      <c r="C13" s="8" t="inlineStr">
        <is>
          <t>不可刪除或改名工作表、不可取消合併儲存格、不可移除公式；可新增資料列並延伸公式範圍。</t>
        </is>
      </c>
    </row>
    <row r="14">
      <c r="A14" t="inlineStr">
        <is>
          <t>All sheets</t>
        </is>
      </c>
      <c r="B14" t="inlineStr">
        <is>
          <t>AmountTWD</t>
        </is>
      </c>
      <c r="C14" s="8" t="inlineStr">
        <is>
          <t>原幣金額 × 匯率（fx_rates.csv），四捨五入 ROUND_HALF_UP 至兩位小數；不同幣別的原幣金額不可直接相加。</t>
        </is>
      </c>
    </row>
    <row r="15">
      <c r="A15" t="inlineStr">
        <is>
          <t>Quotes</t>
        </is>
      </c>
      <c r="B15" t="inlineStr">
        <is>
          <t>A4</t>
        </is>
      </c>
      <c r="C15" s="8" t="inlineStr">
        <is>
          <t>QuoteID: text (文字，保留前導零)</t>
        </is>
      </c>
    </row>
    <row r="16">
      <c r="A16" t="inlineStr">
        <is>
          <t>Quotes</t>
        </is>
      </c>
      <c r="B16" t="inlineStr">
        <is>
          <t>B4</t>
        </is>
      </c>
      <c r="C16" s="8" t="inlineStr">
        <is>
          <t>CustomerID: text (文字，保留前導零)</t>
        </is>
      </c>
    </row>
    <row r="17">
      <c r="A17" t="inlineStr">
        <is>
          <t>Quotes</t>
        </is>
      </c>
      <c r="B17" t="inlineStr">
        <is>
          <t>C4</t>
        </is>
      </c>
      <c r="C17" s="8" t="inlineStr">
        <is>
          <t>ProjectID: text (文字，保留前導零)</t>
        </is>
      </c>
    </row>
    <row r="18">
      <c r="A18" t="inlineStr">
        <is>
          <t>Quotes</t>
        </is>
      </c>
      <c r="B18" t="inlineStr">
        <is>
          <t>D4</t>
        </is>
      </c>
      <c r="C18" s="8" t="inlineStr">
        <is>
          <t>QuoteDate: date YYYY-MM-DD</t>
        </is>
      </c>
    </row>
    <row r="19">
      <c r="A19" t="inlineStr">
        <is>
          <t>Quotes</t>
        </is>
      </c>
      <c r="B19" t="inlineStr">
        <is>
          <t>E4</t>
        </is>
      </c>
      <c r="C19" s="8" t="inlineStr">
        <is>
          <t>ValidUntil: date YYYY-MM-DD</t>
        </is>
      </c>
    </row>
    <row r="20">
      <c r="A20" t="inlineStr">
        <is>
          <t>Quotes</t>
        </is>
      </c>
      <c r="B20" t="inlineStr">
        <is>
          <t>F4</t>
        </is>
      </c>
      <c r="C20" s="8" t="inlineStr">
        <is>
          <t>Status: text</t>
        </is>
      </c>
    </row>
    <row r="21">
      <c r="A21" t="inlineStr">
        <is>
          <t>Quotes</t>
        </is>
      </c>
      <c r="B21" t="inlineStr">
        <is>
          <t>G4</t>
        </is>
      </c>
      <c r="C21" s="8" t="inlineStr">
        <is>
          <t>Currency: text</t>
        </is>
      </c>
    </row>
    <row r="22">
      <c r="A22" t="inlineStr">
        <is>
          <t>Quotes</t>
        </is>
      </c>
      <c r="B22" t="inlineStr">
        <is>
          <t>H4</t>
        </is>
      </c>
      <c r="C22" s="8" t="inlineStr">
        <is>
          <t>Subtotal: number, 2 decimals (0.00)</t>
        </is>
      </c>
    </row>
    <row r="23">
      <c r="A23" t="inlineStr">
        <is>
          <t>Quotes</t>
        </is>
      </c>
      <c r="B23" t="inlineStr">
        <is>
          <t>I4</t>
        </is>
      </c>
      <c r="C23" s="8" t="inlineStr">
        <is>
          <t>DiscountPercent: number</t>
        </is>
      </c>
    </row>
    <row r="24">
      <c r="A24" t="inlineStr">
        <is>
          <t>Quotes</t>
        </is>
      </c>
      <c r="B24" t="inlineStr">
        <is>
          <t>J4</t>
        </is>
      </c>
      <c r="C24" s="8" t="inlineStr">
        <is>
          <t>NetAmount: number, 2 decimals (0.00)</t>
        </is>
      </c>
    </row>
    <row r="25">
      <c r="A25" t="inlineStr">
        <is>
          <t>Quotes</t>
        </is>
      </c>
      <c r="B25" t="inlineStr">
        <is>
          <t>K4</t>
        </is>
      </c>
      <c r="C25" s="8" t="inlineStr">
        <is>
          <t>NetAmountTWD: number, 2 decimals (0.00)</t>
        </is>
      </c>
    </row>
    <row r="26">
      <c r="A26" t="inlineStr">
        <is>
          <t>Lines</t>
        </is>
      </c>
      <c r="B26" t="inlineStr">
        <is>
          <t>A4</t>
        </is>
      </c>
      <c r="C26" s="8" t="inlineStr">
        <is>
          <t>QuoteID: text (文字，保留前導零)</t>
        </is>
      </c>
    </row>
    <row r="27">
      <c r="A27" t="inlineStr">
        <is>
          <t>Lines</t>
        </is>
      </c>
      <c r="B27" t="inlineStr">
        <is>
          <t>B4</t>
        </is>
      </c>
      <c r="C27" s="8" t="inlineStr">
        <is>
          <t>ProductID: text (文字，保留前導零)</t>
        </is>
      </c>
    </row>
    <row r="28">
      <c r="A28" t="inlineStr">
        <is>
          <t>Lines</t>
        </is>
      </c>
      <c r="B28" t="inlineStr">
        <is>
          <t>C4</t>
        </is>
      </c>
      <c r="C28" s="8" t="inlineStr">
        <is>
          <t>ProductName: text</t>
        </is>
      </c>
    </row>
    <row r="29">
      <c r="A29" t="inlineStr">
        <is>
          <t>Lines</t>
        </is>
      </c>
      <c r="B29" t="inlineStr">
        <is>
          <t>D4</t>
        </is>
      </c>
      <c r="C29" s="8" t="inlineStr">
        <is>
          <t>Quantity: number</t>
        </is>
      </c>
    </row>
    <row r="30">
      <c r="A30" t="inlineStr">
        <is>
          <t>Lines</t>
        </is>
      </c>
      <c r="B30" t="inlineStr">
        <is>
          <t>E4</t>
        </is>
      </c>
      <c r="C30" s="8" t="inlineStr">
        <is>
          <t>UnitPrice: number, 2 decimals (0.00)</t>
        </is>
      </c>
    </row>
    <row r="31">
      <c r="A31" t="inlineStr">
        <is>
          <t>Lines</t>
        </is>
      </c>
      <c r="B31" t="inlineStr">
        <is>
          <t>F4</t>
        </is>
      </c>
      <c r="C31" s="8" t="inlineStr">
        <is>
          <t>LineAmount: number, 2 decimals (0.00)</t>
        </is>
      </c>
    </row>
    <row r="32">
      <c r="A32" t="inlineStr">
        <is>
          <t>Quotes</t>
        </is>
      </c>
      <c r="B32" t="inlineStr">
        <is>
          <t>I</t>
        </is>
      </c>
      <c r="C32" s="8" t="inlineStr">
        <is>
          <t>DiscountPercent 為百分比數字，例如 5 代表 5%。</t>
        </is>
      </c>
    </row>
    <row r="33">
      <c r="A33" t="inlineStr">
        <is>
          <t>Lines</t>
        </is>
      </c>
      <c r="B33" t="inlineStr">
        <is>
          <t>A</t>
        </is>
      </c>
      <c r="C33" s="8" t="inlineStr">
        <is>
          <t>每個明細列都要有對應的 QuoteID（與 Quotes 工作表 join）。</t>
        </is>
      </c>
    </row>
    <row r="34">
      <c r="A34" t="inlineStr">
        <is>
          <t>Summary</t>
        </is>
      </c>
      <c r="B34" t="inlineStr">
        <is>
          <t>B2</t>
        </is>
      </c>
      <c r="C34" s="8" t="inlineStr">
        <is>
          <t>公式 =SUM(Quotes!K5:K{最後資料列})：Quotes 的 NetAmountTWD 合計；填入資料後把範圍延伸到最後一列，零筆時保留 K5:K5。</t>
        </is>
      </c>
    </row>
    <row r="35">
      <c r="A35" t="inlineStr">
        <is>
          <t>Summary</t>
        </is>
      </c>
      <c r="B35" t="inlineStr">
        <is>
          <t>A4:F4 / row 5+</t>
        </is>
      </c>
      <c r="C35" s="8" t="inlineStr">
        <is>
          <t>彙總表：Group、SubGroup 為分組鍵（依題目要求，例如 Status、Currency、EmployeeID、Category；不用時留空），Currency 為原幣，Amount 為該組原幣合計，AmountTWD 為該組 TWD 合計，Count 為筆數；全部 TWD 總額不得混加不同原幣。</t>
        </is>
      </c>
    </row>
  </sheetData>
  <pageMargins left="0.75" right="0.75" top="1" bottom="1" header="0.5" footer="0.5"/>
  <headerFooter>
    <oddHeader/>
    <oddFooter>&amp;C合成測試資料 Synthetic lab data · template v1 · 請勿修改本行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2026-10-06T12:56:35Z</dcterms:created>
  <dcterms:modified xsi:type="dcterms:W3CDTF">2026-10-06T20:05:11Z</dcterms:modified>
</cp:coreProperties>
</file>