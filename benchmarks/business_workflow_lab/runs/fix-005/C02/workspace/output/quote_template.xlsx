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'Quotes'!$A$4:$K$16</definedName>
    <definedName name="_xlnm._FilterDatabase" localSheetId="2" hidden="1">'Lines'!$A$4:$F$33</definedName>
    <definedName name="_xlnm._FilterDatabase" localSheetId="3" hidden="1">'Summary'!$A$4:$F$11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2026 年 9 月全部報價；檢查明細合計、折扣後 NetAmount；標示 ValidUntil &lt; 2026-09-30 且 Status != Accepted。</t>
        </is>
      </c>
    </row>
    <row r="5">
      <c r="A5" s="2" t="inlineStr">
        <is>
          <t>產出時間 Generated at</t>
        </is>
      </c>
      <c r="B5" t="inlineStr">
        <is>
          <t>2026-10-07T06:16:50+08:00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2026-10-07T06:16:50+08:00</t>
        </is>
      </c>
    </row>
    <row r="9">
      <c r="A9" s="2" t="inlineStr">
        <is>
          <t>備註 Notes</t>
        </is>
      </c>
      <c r="B9" t="inlineStr">
        <is>
          <t>共取得 12 份報價、29 筆明細；保留全部報價，不因到期刪除。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2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2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n">
        <v>46269</v>
      </c>
      <c r="E7" s="10" t="n">
        <v>46295</v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2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n">
        <v>46272</v>
      </c>
      <c r="E8" s="10" t="n">
        <v>46302</v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2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n">
        <v>46274</v>
      </c>
      <c r="E9" s="10" t="n">
        <v>46293</v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2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n">
        <v>46276</v>
      </c>
      <c r="E10" s="10" t="n">
        <v>46290</v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2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n"/>
      <c r="D11" s="10" t="n">
        <v>46279</v>
      </c>
      <c r="E11" s="10" t="n">
        <v>46309</v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2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n">
        <v>46282</v>
      </c>
      <c r="E12" s="10" t="n">
        <v>46294</v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2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n">
        <v>46286</v>
      </c>
      <c r="E13" s="10" t="n">
        <v>46316</v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2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n"/>
      <c r="D14" s="10" t="n">
        <v>46289</v>
      </c>
      <c r="E14" s="10" t="n">
        <v>46319</v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2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n"/>
      <c r="D15" s="10" t="n">
        <v>46293</v>
      </c>
      <c r="E15" s="10" t="n">
        <v>46323</v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2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n"/>
      <c r="D16" s="10" t="n">
        <v>46295</v>
      </c>
      <c r="E16" s="10" t="n">
        <v>46325</v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2" t="n">
        <v>0</v>
      </c>
      <c r="J16" s="11" t="n">
        <v>129600</v>
      </c>
      <c r="K16" s="11" t="n">
        <v>129600</v>
      </c>
    </row>
  </sheetData>
  <autoFilter ref="A4:K1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12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12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2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12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9" t="inlineStr">
        <is>
          <t>RF Cable Set</t>
        </is>
      </c>
      <c r="D9" s="12" t="n">
        <v>5</v>
      </c>
      <c r="E9" s="11" t="n">
        <v>2565</v>
      </c>
      <c r="F9" s="11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9" t="inlineStr">
        <is>
          <t>Signal Analyzer Module</t>
        </is>
      </c>
      <c r="D10" s="12" t="n">
        <v>2</v>
      </c>
      <c r="E10" s="11" t="n">
        <v>37500</v>
      </c>
      <c r="F10" s="11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12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12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12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9" t="inlineStr">
        <is>
          <t>Shielding Box</t>
        </is>
      </c>
      <c r="D14" s="12" t="n">
        <v>4</v>
      </c>
      <c r="E14" s="11" t="n">
        <v>2070</v>
      </c>
      <c r="F14" s="11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9" t="inlineStr">
        <is>
          <t>Power Sensor</t>
        </is>
      </c>
      <c r="D15" s="12" t="n">
        <v>6</v>
      </c>
      <c r="E15" s="11" t="n">
        <v>882</v>
      </c>
      <c r="F15" s="11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9" t="inlineStr">
        <is>
          <t>Signal Analyzer Module</t>
        </is>
      </c>
      <c r="D16" s="12" t="n">
        <v>4</v>
      </c>
      <c r="E16" s="11" t="n">
        <v>1125</v>
      </c>
      <c r="F16" s="11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9" t="inlineStr">
        <is>
          <t>Shielding Box</t>
        </is>
      </c>
      <c r="D17" s="12" t="n">
        <v>4</v>
      </c>
      <c r="E17" s="11" t="n">
        <v>69000</v>
      </c>
      <c r="F17" s="11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9" t="inlineStr">
        <is>
          <t>Signal Analyzer Module</t>
        </is>
      </c>
      <c r="D18" s="12" t="n">
        <v>1</v>
      </c>
      <c r="E18" s="11" t="n">
        <v>37500</v>
      </c>
      <c r="F18" s="11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12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9" t="inlineStr">
        <is>
          <t>Power Sensor</t>
        </is>
      </c>
      <c r="D20" s="12" t="n">
        <v>3</v>
      </c>
      <c r="E20" s="11" t="n">
        <v>29400</v>
      </c>
      <c r="F20" s="11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9" t="inlineStr">
        <is>
          <t>Software License (1y)</t>
        </is>
      </c>
      <c r="D21" s="12" t="n">
        <v>6</v>
      </c>
      <c r="E21" s="11" t="n">
        <v>45000</v>
      </c>
      <c r="F21" s="11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9" t="inlineStr">
        <is>
          <t>校正服務 (Calibration)</t>
        </is>
      </c>
      <c r="D22" s="12" t="n">
        <v>6</v>
      </c>
      <c r="E22" s="11" t="n">
        <v>12600</v>
      </c>
      <c r="F22" s="11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12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12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9" t="inlineStr">
        <is>
          <t>Software License (1y)</t>
        </is>
      </c>
      <c r="D25" s="12" t="n">
        <v>3</v>
      </c>
      <c r="E25" s="11" t="n">
        <v>45000</v>
      </c>
      <c r="F25" s="11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9" t="inlineStr">
        <is>
          <t>Shielding Box</t>
        </is>
      </c>
      <c r="D26" s="12" t="n">
        <v>3</v>
      </c>
      <c r="E26" s="11" t="n">
        <v>69000</v>
      </c>
      <c r="F26" s="11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12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9" t="inlineStr">
        <is>
          <t>現場安裝工時</t>
        </is>
      </c>
      <c r="D28" s="12" t="n">
        <v>5</v>
      </c>
      <c r="E28" s="11" t="n">
        <v>85.5</v>
      </c>
      <c r="F28" s="11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12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12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9" t="inlineStr">
        <is>
          <t>校正服務 (Calibration)</t>
        </is>
      </c>
      <c r="D31" s="12" t="n">
        <v>3</v>
      </c>
      <c r="E31" s="11" t="n">
        <v>378</v>
      </c>
      <c r="F31" s="11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9" t="inlineStr">
        <is>
          <t>現場安裝工時</t>
        </is>
      </c>
      <c r="D32" s="12" t="n">
        <v>6</v>
      </c>
      <c r="E32" s="11" t="n">
        <v>2850</v>
      </c>
      <c r="F32" s="11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9" t="inlineStr">
        <is>
          <t>Signal Analyzer Module</t>
        </is>
      </c>
      <c r="D33" s="12" t="n">
        <v>3</v>
      </c>
      <c r="E33" s="11" t="n">
        <v>37500</v>
      </c>
      <c r="F33" s="11" t="n">
        <v>112500</v>
      </c>
    </row>
  </sheetData>
  <autoFilter ref="A4:F3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3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1" t="n">
        <v>7654.41</v>
      </c>
      <c r="E5" s="11" t="n">
        <v>267904.35</v>
      </c>
      <c r="F5" s="14" t="n">
        <v>2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1" t="n">
        <v>282150</v>
      </c>
      <c r="E6" s="11" t="n">
        <v>282150</v>
      </c>
      <c r="F6" s="14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1" t="n">
        <v>10350</v>
      </c>
      <c r="E7" s="11" t="n">
        <v>331200</v>
      </c>
      <c r="F7" s="14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1" t="n">
        <v>912342</v>
      </c>
      <c r="E8" s="11" t="n">
        <v>912342</v>
      </c>
      <c r="F8" s="14" t="n">
        <v>3</v>
      </c>
    </row>
    <row r="9">
      <c r="A9" s="9" t="inlineStr">
        <is>
          <t>Status</t>
        </is>
      </c>
      <c r="B9" s="9" t="inlineStr">
        <is>
          <t>Expired</t>
        </is>
      </c>
      <c r="C9" s="9" t="inlineStr">
        <is>
          <t>EUR</t>
        </is>
      </c>
      <c r="D9" s="11" t="n">
        <v>18072</v>
      </c>
      <c r="E9" s="11" t="n">
        <v>632520</v>
      </c>
      <c r="F9" s="14" t="n">
        <v>1</v>
      </c>
    </row>
    <row r="10">
      <c r="A10" s="9" t="inlineStr">
        <is>
          <t>Status</t>
        </is>
      </c>
      <c r="B10" s="9" t="inlineStr">
        <is>
          <t>Sent</t>
        </is>
      </c>
      <c r="C10" s="9" t="inlineStr">
        <is>
          <t>TWD</t>
        </is>
      </c>
      <c r="D10" s="11" t="n">
        <v>641429.63</v>
      </c>
      <c r="E10" s="11" t="n">
        <v>641429.63</v>
      </c>
      <c r="F10" s="14" t="n">
        <v>2</v>
      </c>
    </row>
    <row r="11">
      <c r="A11" s="9" t="inlineStr">
        <is>
          <t>Status</t>
        </is>
      </c>
      <c r="B11" s="9" t="inlineStr">
        <is>
          <t>Sent</t>
        </is>
      </c>
      <c r="C11" s="9" t="inlineStr">
        <is>
          <t>USD</t>
        </is>
      </c>
      <c r="D11" s="11" t="n">
        <v>500.18</v>
      </c>
      <c r="E11" s="11" t="n">
        <v>16005.76</v>
      </c>
      <c r="F11" s="14" t="n">
        <v>2</v>
      </c>
    </row>
  </sheetData>
  <autoFilter ref="A4:F11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2026-10-06T22:16:53Z</dcterms:modified>
</cp:coreProperties>
</file>