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CustomerID=C001; period=2026-09-01..2026-09-30; orders exclude Cancelled; expenses Approved only for customer-related projects; quotes kept all; FX from input/fx_rates.csv</t>
        </is>
      </c>
    </row>
    <row r="5">
      <c r="A5" s="2" t="inlineStr">
        <is>
          <t>產出時間 Generated at</t>
        </is>
      </c>
      <c r="B5" t="inlineStr">
        <is>
          <t>2026-10-09T15:52:38+08:00</t>
        </is>
      </c>
    </row>
    <row r="7">
      <c r="A7" s="2" t="inlineStr">
        <is>
          <t>資料來源 Source</t>
        </is>
      </c>
      <c r="B7" t="inlineStr">
        <is>
          <t>Lab ERP Sales Orders/Invoices; Expense Viewer; quote_cli; fx_rates.csv</t>
        </is>
      </c>
      <c r="C7" s="2" t="inlineStr">
        <is>
          <t>取得時間 Fetched at</t>
        </is>
      </c>
      <c r="D7" t="inlineStr">
        <is>
          <t>2026-10-09T15:52:38+08:00</t>
        </is>
      </c>
    </row>
    <row r="9">
      <c r="A9" s="2" t="inlineStr">
        <is>
          <t>備註 Notes</t>
        </is>
      </c>
      <c r="B9" t="inlineStr">
        <is>
          <t>Customer-related projects: P001, P003; attention rules: invoice due &lt;= as-of date with unpaid balance, approved expense missing receipt, quote ValidUntil &lt; as-of date and Status != Accepted.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s="10" t="inlineStr">
        <is>
          <t>0045000109</t>
        </is>
      </c>
      <c r="B5" s="10" t="inlineStr">
        <is>
          <t>P003</t>
        </is>
      </c>
      <c r="C5" s="10" t="inlineStr">
        <is>
          <t>C001</t>
        </is>
      </c>
      <c r="D5" s="9" t="n">
        <v>46266</v>
      </c>
      <c r="E5" t="inlineStr">
        <is>
          <t>Open</t>
        </is>
      </c>
      <c r="F5" t="inlineStr">
        <is>
          <t>TWD</t>
        </is>
      </c>
      <c r="G5" s="11" t="n">
        <v>150000</v>
      </c>
      <c r="H5" s="11" t="n">
        <v>150000</v>
      </c>
    </row>
    <row r="6">
      <c r="A6" s="10" t="inlineStr">
        <is>
          <t>0045000119</t>
        </is>
      </c>
      <c r="B6" s="10" t="inlineStr">
        <is>
          <t>P001</t>
        </is>
      </c>
      <c r="C6" s="10" t="inlineStr">
        <is>
          <t>C001</t>
        </is>
      </c>
      <c r="D6" s="9" t="n">
        <v>46280</v>
      </c>
      <c r="E6" t="inlineStr">
        <is>
          <t>Open</t>
        </is>
      </c>
      <c r="F6" t="inlineStr">
        <is>
          <t>EUR</t>
        </is>
      </c>
      <c r="G6" s="11" t="n">
        <v>8775</v>
      </c>
      <c r="H6" s="11" t="n">
        <v>307125</v>
      </c>
    </row>
    <row r="7">
      <c r="A7" s="10" t="inlineStr">
        <is>
          <t>0045000125</t>
        </is>
      </c>
      <c r="B7" s="10" t="inlineStr">
        <is>
          <t>P001</t>
        </is>
      </c>
      <c r="C7" s="10" t="inlineStr">
        <is>
          <t>C001</t>
        </is>
      </c>
      <c r="D7" s="9" t="n">
        <v>46290</v>
      </c>
      <c r="E7" t="inlineStr">
        <is>
          <t>Closed</t>
        </is>
      </c>
      <c r="F7" t="inlineStr">
        <is>
          <t>TWD</t>
        </is>
      </c>
      <c r="G7" s="11" t="n">
        <v>386445</v>
      </c>
      <c r="H7" s="11" t="n">
        <v>386445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0090000208</t>
        </is>
      </c>
      <c r="B5" s="10" t="inlineStr">
        <is>
          <t>0045000109</t>
        </is>
      </c>
      <c r="C5" s="10" t="inlineStr">
        <is>
          <t>P003</t>
        </is>
      </c>
      <c r="D5" s="10" t="inlineStr">
        <is>
          <t>C001</t>
        </is>
      </c>
      <c r="E5" s="9" t="n">
        <v>46267</v>
      </c>
      <c r="F5" s="9" t="n">
        <v>46277</v>
      </c>
      <c r="G5" t="inlineStr">
        <is>
          <t>TWD</t>
        </is>
      </c>
      <c r="H5" s="11" t="n">
        <v>150000</v>
      </c>
      <c r="I5" s="11" t="n">
        <v>150000</v>
      </c>
      <c r="J5" s="11" t="n">
        <v>0</v>
      </c>
      <c r="K5" s="11" t="n">
        <v>0</v>
      </c>
    </row>
    <row r="6">
      <c r="A6" s="10" t="inlineStr">
        <is>
          <t>0090000214</t>
        </is>
      </c>
      <c r="B6" s="10" t="inlineStr">
        <is>
          <t>0045000119</t>
        </is>
      </c>
      <c r="C6" s="10" t="inlineStr">
        <is>
          <t>P001</t>
        </is>
      </c>
      <c r="D6" s="10" t="inlineStr">
        <is>
          <t>C001</t>
        </is>
      </c>
      <c r="E6" s="9" t="n">
        <v>46281</v>
      </c>
      <c r="F6" s="9" t="n">
        <v>46311</v>
      </c>
      <c r="G6" t="inlineStr">
        <is>
          <t>EUR</t>
        </is>
      </c>
      <c r="H6" s="11" t="n">
        <v>8775</v>
      </c>
      <c r="I6" s="11" t="n">
        <v>8775</v>
      </c>
      <c r="J6" s="11" t="n">
        <v>0</v>
      </c>
      <c r="K6" s="11" t="n">
        <v>0</v>
      </c>
    </row>
    <row r="7">
      <c r="A7" s="10" t="inlineStr">
        <is>
          <t>0090000219</t>
        </is>
      </c>
      <c r="B7" s="10" t="inlineStr">
        <is>
          <t>0045000125</t>
        </is>
      </c>
      <c r="C7" s="10" t="inlineStr">
        <is>
          <t>P001</t>
        </is>
      </c>
      <c r="D7" s="10" t="inlineStr">
        <is>
          <t>C001</t>
        </is>
      </c>
      <c r="E7" s="9" t="n">
        <v>46295</v>
      </c>
      <c r="F7" s="9" t="n">
        <v>46295</v>
      </c>
      <c r="G7" t="inlineStr">
        <is>
          <t>TWD</t>
        </is>
      </c>
      <c r="H7" s="11" t="n">
        <v>386445</v>
      </c>
      <c r="I7" s="11" t="n">
        <v>0</v>
      </c>
      <c r="J7" s="11" t="n">
        <v>386445</v>
      </c>
      <c r="K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s="10" t="inlineStr">
        <is>
          <t>EXP-00001</t>
        </is>
      </c>
      <c r="B5" s="10" t="inlineStr">
        <is>
          <t>P001</t>
        </is>
      </c>
      <c r="C5" s="10" t="inlineStr">
        <is>
          <t>E001</t>
        </is>
      </c>
      <c r="D5" s="9" t="n">
        <v>46266</v>
      </c>
      <c r="E5" t="inlineStr">
        <is>
          <t>Approved</t>
        </is>
      </c>
      <c r="F5" t="inlineStr">
        <is>
          <t>TWD</t>
        </is>
      </c>
      <c r="G5" s="11" t="n">
        <v>1280</v>
      </c>
      <c r="H5" s="11" t="n">
        <v>1280</v>
      </c>
    </row>
    <row r="6">
      <c r="A6" s="10" t="inlineStr">
        <is>
          <t>EXP-00002</t>
        </is>
      </c>
      <c r="B6" s="10" t="inlineStr">
        <is>
          <t>P001</t>
        </is>
      </c>
      <c r="C6" s="10" t="inlineStr">
        <is>
          <t>E001</t>
        </is>
      </c>
      <c r="D6" s="9" t="n">
        <v>46267</v>
      </c>
      <c r="E6" t="inlineStr">
        <is>
          <t>Approved</t>
        </is>
      </c>
      <c r="F6" t="inlineStr">
        <is>
          <t>USD</t>
        </is>
      </c>
      <c r="G6" s="11" t="n">
        <v>200</v>
      </c>
      <c r="H6" s="11" t="n">
        <v>6400</v>
      </c>
    </row>
    <row r="7">
      <c r="A7" s="10" t="inlineStr">
        <is>
          <t>EXP-00014</t>
        </is>
      </c>
      <c r="B7" s="10" t="inlineStr">
        <is>
          <t>P003</t>
        </is>
      </c>
      <c r="C7" s="10" t="inlineStr">
        <is>
          <t>E002</t>
        </is>
      </c>
      <c r="D7" s="9" t="n">
        <v>46269</v>
      </c>
      <c r="E7" t="inlineStr">
        <is>
          <t>Approved</t>
        </is>
      </c>
      <c r="F7" t="inlineStr">
        <is>
          <t>EUR</t>
        </is>
      </c>
      <c r="G7" s="11" t="n">
        <v>180</v>
      </c>
      <c r="H7" s="11" t="n">
        <v>6300</v>
      </c>
    </row>
    <row r="8">
      <c r="A8" s="10" t="inlineStr">
        <is>
          <t>EXP-00004</t>
        </is>
      </c>
      <c r="B8" s="10" t="inlineStr">
        <is>
          <t>P003</t>
        </is>
      </c>
      <c r="C8" s="10" t="inlineStr">
        <is>
          <t>E001</t>
        </is>
      </c>
      <c r="D8" s="9" t="n">
        <v>46270</v>
      </c>
      <c r="E8" t="inlineStr">
        <is>
          <t>Approved</t>
        </is>
      </c>
      <c r="F8" t="inlineStr">
        <is>
          <t>EUR</t>
        </is>
      </c>
      <c r="G8" s="11" t="n">
        <v>42.5</v>
      </c>
      <c r="H8" s="11" t="n">
        <v>1487.5</v>
      </c>
    </row>
    <row r="9">
      <c r="A9" s="10" t="inlineStr">
        <is>
          <t>EXP-00006</t>
        </is>
      </c>
      <c r="B9" s="10" t="inlineStr">
        <is>
          <t>P001</t>
        </is>
      </c>
      <c r="C9" s="10" t="inlineStr">
        <is>
          <t>E001</t>
        </is>
      </c>
      <c r="D9" s="9" t="n">
        <v>46275</v>
      </c>
      <c r="E9" t="inlineStr">
        <is>
          <t>Approved</t>
        </is>
      </c>
      <c r="F9" t="inlineStr">
        <is>
          <t>TWD</t>
        </is>
      </c>
      <c r="G9" s="11" t="n">
        <v>620</v>
      </c>
      <c r="H9" s="11" t="n">
        <v>620</v>
      </c>
    </row>
    <row r="10">
      <c r="A10" s="10" t="inlineStr">
        <is>
          <t>EXP-00009</t>
        </is>
      </c>
      <c r="B10" s="10" t="inlineStr">
        <is>
          <t>P003</t>
        </is>
      </c>
      <c r="C10" s="10" t="inlineStr">
        <is>
          <t>E001</t>
        </is>
      </c>
      <c r="D10" s="9" t="n">
        <v>46282</v>
      </c>
      <c r="E10" t="inlineStr">
        <is>
          <t>Approved</t>
        </is>
      </c>
      <c r="F10" t="inlineStr">
        <is>
          <t>TWD</t>
        </is>
      </c>
      <c r="G10" s="11" t="n">
        <v>3150</v>
      </c>
      <c r="H10" s="11" t="n">
        <v>3150</v>
      </c>
    </row>
    <row r="11">
      <c r="A11" s="10" t="inlineStr">
        <is>
          <t>EXP-00024</t>
        </is>
      </c>
      <c r="B11" s="10" t="inlineStr">
        <is>
          <t>P001</t>
        </is>
      </c>
      <c r="C11" s="10" t="inlineStr">
        <is>
          <t>E004</t>
        </is>
      </c>
      <c r="D11" s="9" t="n">
        <v>46283</v>
      </c>
      <c r="E11" t="inlineStr">
        <is>
          <t>Approved</t>
        </is>
      </c>
      <c r="F11" t="inlineStr">
        <is>
          <t>TWD</t>
        </is>
      </c>
      <c r="G11" s="11" t="n">
        <v>5000</v>
      </c>
      <c r="H11" s="11" t="n">
        <v>5000</v>
      </c>
    </row>
    <row r="12">
      <c r="A12" s="10" t="inlineStr">
        <is>
          <t>EXP-00025</t>
        </is>
      </c>
      <c r="B12" s="10" t="inlineStr">
        <is>
          <t>P001</t>
        </is>
      </c>
      <c r="C12" s="10" t="inlineStr">
        <is>
          <t>E004</t>
        </is>
      </c>
      <c r="D12" s="9" t="n">
        <v>46289</v>
      </c>
      <c r="E12" t="inlineStr">
        <is>
          <t>Approved</t>
        </is>
      </c>
      <c r="F12" t="inlineStr">
        <is>
          <t>EUR</t>
        </is>
      </c>
      <c r="G12" s="11" t="n">
        <v>143</v>
      </c>
      <c r="H12" s="11" t="n">
        <v>5005</v>
      </c>
    </row>
    <row r="13">
      <c r="A13" s="10" t="inlineStr">
        <is>
          <t>EXP-00013</t>
        </is>
      </c>
      <c r="B13" s="10" t="inlineStr">
        <is>
          <t>P003</t>
        </is>
      </c>
      <c r="C13" s="10" t="inlineStr">
        <is>
          <t>E001</t>
        </is>
      </c>
      <c r="D13" s="9" t="n">
        <v>46295</v>
      </c>
      <c r="E13" t="inlineStr">
        <is>
          <t>Approved</t>
        </is>
      </c>
      <c r="F13" t="inlineStr">
        <is>
          <t>EUR</t>
        </is>
      </c>
      <c r="G13" s="11" t="n">
        <v>60</v>
      </c>
      <c r="H13" s="11" t="n">
        <v>2100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s="10" t="inlineStr">
        <is>
          <t>Q0010</t>
        </is>
      </c>
      <c r="B5" s="10" t="inlineStr">
        <is>
          <t>P001</t>
        </is>
      </c>
      <c r="C5" s="10" t="inlineStr">
        <is>
          <t>C001</t>
        </is>
      </c>
      <c r="D5" s="9" t="n">
        <v>46266</v>
      </c>
      <c r="E5" s="9" t="n">
        <v>46285</v>
      </c>
      <c r="F5" t="inlineStr">
        <is>
          <t>Sent</t>
        </is>
      </c>
      <c r="G5" t="inlineStr">
        <is>
          <t>TWD</t>
        </is>
      </c>
      <c r="H5" s="11" t="n">
        <v>207629.63</v>
      </c>
      <c r="I5" s="11" t="n">
        <v>207629.63</v>
      </c>
    </row>
    <row r="6">
      <c r="A6" s="10" t="inlineStr">
        <is>
          <t>Q0011</t>
        </is>
      </c>
      <c r="B6" s="10" t="inlineStr">
        <is>
          <t>P001</t>
        </is>
      </c>
      <c r="C6" s="10" t="inlineStr">
        <is>
          <t>C001</t>
        </is>
      </c>
      <c r="D6" s="9" t="n">
        <v>46268</v>
      </c>
      <c r="E6" s="9" t="n">
        <v>46298</v>
      </c>
      <c r="F6" t="inlineStr">
        <is>
          <t>Accepted</t>
        </is>
      </c>
      <c r="G6" t="inlineStr">
        <is>
          <t>USD</t>
        </is>
      </c>
      <c r="H6" s="11" t="n">
        <v>10350</v>
      </c>
      <c r="I6" s="11" t="n">
        <v>331200</v>
      </c>
    </row>
    <row r="7">
      <c r="A7" s="10" t="inlineStr">
        <is>
          <t>Q0014</t>
        </is>
      </c>
      <c r="B7" s="10" t="inlineStr">
        <is>
          <t>P001</t>
        </is>
      </c>
      <c r="C7" s="10" t="inlineStr">
        <is>
          <t>C001</t>
        </is>
      </c>
      <c r="D7" s="9" t="n">
        <v>46274</v>
      </c>
      <c r="E7" s="9" t="n">
        <v>46293</v>
      </c>
      <c r="F7" t="inlineStr">
        <is>
          <t>Expired</t>
        </is>
      </c>
      <c r="G7" t="inlineStr">
        <is>
          <t>EUR</t>
        </is>
      </c>
      <c r="H7" s="11" t="n">
        <v>18072</v>
      </c>
      <c r="I7" s="11" t="n">
        <v>632520</v>
      </c>
    </row>
    <row r="8">
      <c r="A8" s="10" t="inlineStr">
        <is>
          <t>Q0018</t>
        </is>
      </c>
      <c r="B8" s="10" t="inlineStr">
        <is>
          <t>P001</t>
        </is>
      </c>
      <c r="C8" s="10" t="inlineStr">
        <is>
          <t>C001</t>
        </is>
      </c>
      <c r="D8" s="9" t="n">
        <v>46286</v>
      </c>
      <c r="E8" s="9" t="n">
        <v>46316</v>
      </c>
      <c r="F8" t="inlineStr">
        <is>
          <t>Draft</t>
        </is>
      </c>
      <c r="G8" t="inlineStr">
        <is>
          <t>TWD</t>
        </is>
      </c>
      <c r="H8" s="11" t="n">
        <v>514917</v>
      </c>
      <c r="I8" s="11" t="n">
        <v>514917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12">
        <f>SUM(B5:B6)</f>
        <v/>
      </c>
      <c r="C2" s="12">
        <f>SUM(C5:C6)</f>
        <v/>
      </c>
      <c r="D2" s="12">
        <f>SUM(D5:D6)</f>
        <v/>
      </c>
      <c r="E2" s="12">
        <f>SUM(E5:E6)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B5" s="11" t="n">
        <v>693570</v>
      </c>
      <c r="C5" s="11" t="n">
        <v>386445</v>
      </c>
      <c r="D5" s="11" t="n">
        <v>18305</v>
      </c>
      <c r="E5" s="11" t="n">
        <v>331200</v>
      </c>
    </row>
    <row r="6">
      <c r="A6" s="10" t="inlineStr">
        <is>
          <t>P003</t>
        </is>
      </c>
      <c r="B6" s="11" t="n">
        <v>150000</v>
      </c>
      <c r="C6" s="11" t="n">
        <v>0</v>
      </c>
      <c r="D6" s="11" t="n">
        <v>13037.5</v>
      </c>
      <c r="E6" s="11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Invoices</t>
        </is>
      </c>
      <c r="B5" s="10" t="inlineStr">
        <is>
          <t>0090000219</t>
        </is>
      </c>
      <c r="C5" s="10" t="inlineStr">
        <is>
          <t>P001</t>
        </is>
      </c>
      <c r="D5" t="inlineStr">
        <is>
          <t>Overdue unpaid invoice as of 2026-09-30; Balance=386445.00 TWD</t>
        </is>
      </c>
    </row>
    <row r="6">
      <c r="A6" t="inlineStr">
        <is>
          <t>Expenses</t>
        </is>
      </c>
      <c r="B6" s="10" t="inlineStr">
        <is>
          <t>EXP-00006</t>
        </is>
      </c>
      <c r="C6" s="10" t="inlineStr">
        <is>
          <t>P001</t>
        </is>
      </c>
      <c r="D6" t="inlineStr">
        <is>
          <t>Approved expense missing receipt</t>
        </is>
      </c>
    </row>
    <row r="7">
      <c r="A7" t="inlineStr">
        <is>
          <t>Quotes</t>
        </is>
      </c>
      <c r="B7" s="10" t="inlineStr">
        <is>
          <t>Q0010</t>
        </is>
      </c>
      <c r="C7" s="10" t="inlineStr">
        <is>
          <t>P001</t>
        </is>
      </c>
      <c r="D7" t="inlineStr">
        <is>
          <t>Quote expired before 2026-09-30 and not Accepted; Status=Sent</t>
        </is>
      </c>
    </row>
    <row r="8">
      <c r="A8" t="inlineStr">
        <is>
          <t>Quotes</t>
        </is>
      </c>
      <c r="B8" s="10" t="inlineStr">
        <is>
          <t>Q0014</t>
        </is>
      </c>
      <c r="C8" s="10" t="inlineStr">
        <is>
          <t>P001</t>
        </is>
      </c>
      <c r="D8" t="inlineStr">
        <is>
          <t>Quote expired before 2026-09-30 and not Accepted; Status=Expired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2026-10-09T07:52:38Z</dcterms:modified>
</cp:coreProperties>
</file>