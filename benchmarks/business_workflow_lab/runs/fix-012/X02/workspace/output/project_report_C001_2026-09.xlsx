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Orders" sheetId="2" state="visible" r:id="rId2"/>
    <sheet name="Invoices" sheetId="3" state="visible" r:id="rId3"/>
    <sheet name="Expenses" sheetId="4" state="visible" r:id="rId4"/>
    <sheet name="Quotes" sheetId="5" state="visible" r:id="rId5"/>
    <sheet name="Summary" sheetId="6" state="visible" r:id="rId6"/>
    <sheet name="Exceptions" sheetId="7" state="visible" r:id="rId7"/>
    <sheet name="Instructions" sheetId="8" state="visible" r:id="rId8"/>
  </sheets>
  <definedNames>
    <definedName name="_xlnm._FilterDatabase" localSheetId="1" hidden="1">'Orders'!$A$4:$H$4</definedName>
    <definedName name="_xlnm._FilterDatabase" localSheetId="2" hidden="1">'Invoices'!$A$4:$K$4</definedName>
    <definedName name="_xlnm._FilterDatabase" localSheetId="3" hidden="1">'Expenses'!$A$4:$H$4</definedName>
    <definedName name="_xlnm._FilterDatabase" localSheetId="4" hidden="1">'Quotes'!$A$4:$I$4</definedName>
    <definedName name="_xlnm._FilterDatabase" localSheetId="6" hidden="1">'Exceptions'!$A$4:$D$4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164" fontId="0" fillId="0" borderId="0" pivotButton="0" quotePrefix="0" xfId="0"/>
    <xf numFmtId="49" fontId="0" fillId="0" borderId="0" pivotButton="0" quotePrefix="0" xfId="0"/>
    <xf numFmtId="2" fontId="0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Project Integration Report 專案整合報表</t>
        </is>
      </c>
    </row>
    <row r="3">
      <c r="A3" s="2" t="inlineStr">
        <is>
          <t>起始日期 From</t>
        </is>
      </c>
      <c r="B3" s="9" t="n">
        <v>46266</v>
      </c>
      <c r="C3" s="2" t="inlineStr">
        <is>
          <t>結束日期 To</t>
        </is>
      </c>
      <c r="D3" s="9" t="n">
        <v>46295</v>
      </c>
    </row>
    <row r="4">
      <c r="A4" s="2" t="inlineStr">
        <is>
          <t>條件 Condition</t>
        </is>
      </c>
      <c r="B4" t="inlineStr">
        <is>
          <t>CustomerID=C001; period=2026-09-01..2026-09-30; orders exclude Cancelled; expenses include Approved only for C001-related projects; quotes kept all; FX from input/fx_rates.csv</t>
        </is>
      </c>
    </row>
    <row r="5">
      <c r="A5" s="2" t="inlineStr">
        <is>
          <t>產出時間 Generated at</t>
        </is>
      </c>
      <c r="B5" t="inlineStr">
        <is>
          <t>2026-10-09T15:50:00+08:00</t>
        </is>
      </c>
    </row>
    <row r="7">
      <c r="A7" s="2" t="inlineStr">
        <is>
          <t>資料來源 Source</t>
        </is>
      </c>
      <c r="B7" t="inlineStr">
        <is>
          <t>Lab ERP Sales Orders/Invoices; Expense Viewer; quote_cli; fx_rates.csv</t>
        </is>
      </c>
      <c r="C7" s="2" t="inlineStr">
        <is>
          <t>取得時間 Fetched at</t>
        </is>
      </c>
      <c r="D7" t="inlineStr">
        <is>
          <t>2026-10-09T15:50:00+08:00</t>
        </is>
      </c>
    </row>
    <row r="9">
      <c r="A9" s="2" t="inlineStr">
        <is>
          <t>備註 Notes</t>
        </is>
      </c>
      <c r="B9" t="inlineStr">
        <is>
          <t>C001 related projects: P001, P003; attention rules: invoice due &lt;= 2026-09-30 with unpaid balance, approved expense missing receipt, quote ValidUntil &lt; 2026-09-30 and Status != Accepted.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Sales orders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OrderID</t>
        </is>
      </c>
      <c r="B4" s="5" t="inlineStr">
        <is>
          <t>ProjectID</t>
        </is>
      </c>
      <c r="C4" s="5" t="inlineStr">
        <is>
          <t>CustomerID</t>
        </is>
      </c>
      <c r="D4" s="5" t="inlineStr">
        <is>
          <t>OrderDate</t>
        </is>
      </c>
      <c r="E4" s="5" t="inlineStr">
        <is>
          <t>Status</t>
        </is>
      </c>
      <c r="F4" s="5" t="inlineStr">
        <is>
          <t>Currency</t>
        </is>
      </c>
      <c r="G4" s="5" t="inlineStr">
        <is>
          <t>NetAmount</t>
        </is>
      </c>
      <c r="H4" s="5" t="inlineStr">
        <is>
          <t>AmountTWD</t>
        </is>
      </c>
    </row>
    <row r="5">
      <c r="A5" s="10" t="inlineStr">
        <is>
          <t>0045000109</t>
        </is>
      </c>
      <c r="B5" s="10" t="inlineStr">
        <is>
          <t>P003</t>
        </is>
      </c>
      <c r="C5" s="10" t="inlineStr">
        <is>
          <t>C001</t>
        </is>
      </c>
      <c r="D5" s="9" t="n">
        <v>46266</v>
      </c>
      <c r="E5" t="inlineStr">
        <is>
          <t>Open</t>
        </is>
      </c>
      <c r="F5" t="inlineStr">
        <is>
          <t>TWD</t>
        </is>
      </c>
      <c r="G5" s="11" t="n">
        <v>150000</v>
      </c>
      <c r="H5" s="11" t="n">
        <v>150000</v>
      </c>
    </row>
    <row r="6">
      <c r="A6" s="10" t="inlineStr">
        <is>
          <t>0045000119</t>
        </is>
      </c>
      <c r="B6" s="10" t="inlineStr">
        <is>
          <t>P001</t>
        </is>
      </c>
      <c r="C6" s="10" t="inlineStr">
        <is>
          <t>C001</t>
        </is>
      </c>
      <c r="D6" s="9" t="n">
        <v>46280</v>
      </c>
      <c r="E6" t="inlineStr">
        <is>
          <t>Open</t>
        </is>
      </c>
      <c r="F6" t="inlineStr">
        <is>
          <t>EUR</t>
        </is>
      </c>
      <c r="G6" s="11" t="n">
        <v>8775</v>
      </c>
      <c r="H6" s="11" t="n">
        <v>307125</v>
      </c>
    </row>
    <row r="7">
      <c r="A7" s="10" t="inlineStr">
        <is>
          <t>0045000125</t>
        </is>
      </c>
      <c r="B7" s="10" t="inlineStr">
        <is>
          <t>P001</t>
        </is>
      </c>
      <c r="C7" s="10" t="inlineStr">
        <is>
          <t>C001</t>
        </is>
      </c>
      <c r="D7" s="9" t="n">
        <v>46290</v>
      </c>
      <c r="E7" t="inlineStr">
        <is>
          <t>Closed</t>
        </is>
      </c>
      <c r="F7" t="inlineStr">
        <is>
          <t>TWD</t>
        </is>
      </c>
      <c r="G7" s="11" t="n">
        <v>386445</v>
      </c>
      <c r="H7" s="11" t="n">
        <v>386445</v>
      </c>
    </row>
  </sheetData>
  <autoFilter ref="A4:H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Invoices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InvoiceID</t>
        </is>
      </c>
      <c r="B4" s="5" t="inlineStr">
        <is>
          <t>OrderID</t>
        </is>
      </c>
      <c r="C4" s="5" t="inlineStr">
        <is>
          <t>ProjectID</t>
        </is>
      </c>
      <c r="D4" s="5" t="inlineStr">
        <is>
          <t>CustomerID</t>
        </is>
      </c>
      <c r="E4" s="5" t="inlineStr">
        <is>
          <t>InvoiceDate</t>
        </is>
      </c>
      <c r="F4" s="5" t="inlineStr">
        <is>
          <t>DueDate</t>
        </is>
      </c>
      <c r="G4" s="5" t="inlineStr">
        <is>
          <t>Currency</t>
        </is>
      </c>
      <c r="H4" s="5" t="inlineStr">
        <is>
          <t>Amount</t>
        </is>
      </c>
      <c r="I4" s="5" t="inlineStr">
        <is>
          <t>PaidAmount</t>
        </is>
      </c>
      <c r="J4" s="5" t="inlineStr">
        <is>
          <t>Balance</t>
        </is>
      </c>
      <c r="K4" s="5" t="inlineStr">
        <is>
          <t>BalanceTWD</t>
        </is>
      </c>
    </row>
    <row r="5">
      <c r="A5" s="10" t="inlineStr">
        <is>
          <t>0090000208</t>
        </is>
      </c>
      <c r="B5" s="10" t="inlineStr">
        <is>
          <t>0045000109</t>
        </is>
      </c>
      <c r="C5" s="10" t="inlineStr">
        <is>
          <t>P003</t>
        </is>
      </c>
      <c r="D5" s="10" t="inlineStr">
        <is>
          <t>C001</t>
        </is>
      </c>
      <c r="E5" s="9" t="n">
        <v>46267</v>
      </c>
      <c r="F5" s="9" t="n">
        <v>46277</v>
      </c>
      <c r="G5" t="inlineStr">
        <is>
          <t>TWD</t>
        </is>
      </c>
      <c r="H5" s="11" t="n">
        <v>150000</v>
      </c>
      <c r="I5" s="11" t="n">
        <v>150000</v>
      </c>
      <c r="J5" s="11" t="n">
        <v>0</v>
      </c>
      <c r="K5" s="11" t="n">
        <v>0</v>
      </c>
    </row>
    <row r="6">
      <c r="A6" s="10" t="inlineStr">
        <is>
          <t>0090000214</t>
        </is>
      </c>
      <c r="B6" s="10" t="inlineStr">
        <is>
          <t>0045000119</t>
        </is>
      </c>
      <c r="C6" s="10" t="inlineStr">
        <is>
          <t>P001</t>
        </is>
      </c>
      <c r="D6" s="10" t="inlineStr">
        <is>
          <t>C001</t>
        </is>
      </c>
      <c r="E6" s="9" t="n">
        <v>46281</v>
      </c>
      <c r="F6" s="9" t="n">
        <v>46311</v>
      </c>
      <c r="G6" t="inlineStr">
        <is>
          <t>EUR</t>
        </is>
      </c>
      <c r="H6" s="11" t="n">
        <v>8775</v>
      </c>
      <c r="I6" s="11" t="n">
        <v>8775</v>
      </c>
      <c r="J6" s="11" t="n">
        <v>0</v>
      </c>
      <c r="K6" s="11" t="n">
        <v>0</v>
      </c>
    </row>
    <row r="7">
      <c r="A7" s="10" t="inlineStr">
        <is>
          <t>0090000219</t>
        </is>
      </c>
      <c r="B7" s="10" t="inlineStr">
        <is>
          <t>0045000125</t>
        </is>
      </c>
      <c r="C7" s="10" t="inlineStr">
        <is>
          <t>P001</t>
        </is>
      </c>
      <c r="D7" s="10" t="inlineStr">
        <is>
          <t>C001</t>
        </is>
      </c>
      <c r="E7" s="9" t="n">
        <v>46295</v>
      </c>
      <c r="F7" s="9" t="n">
        <v>46295</v>
      </c>
      <c r="G7" t="inlineStr">
        <is>
          <t>TWD</t>
        </is>
      </c>
      <c r="H7" s="11" t="n">
        <v>386445</v>
      </c>
      <c r="I7" s="11" t="n">
        <v>0</v>
      </c>
      <c r="J7" s="11" t="n">
        <v>386445</v>
      </c>
      <c r="K7" s="11" t="n">
        <v>386445</v>
      </c>
    </row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Expenses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ProjectID</t>
        </is>
      </c>
      <c r="C4" s="5" t="inlineStr">
        <is>
          <t>EmployeeID</t>
        </is>
      </c>
      <c r="D4" s="5" t="inlineStr">
        <is>
          <t>ExpenseDate</t>
        </is>
      </c>
      <c r="E4" s="5" t="inlineStr">
        <is>
          <t>Status</t>
        </is>
      </c>
      <c r="F4" s="5" t="inlineStr">
        <is>
          <t>Currency</t>
        </is>
      </c>
      <c r="G4" s="5" t="inlineStr">
        <is>
          <t>Amount</t>
        </is>
      </c>
      <c r="H4" s="5" t="inlineStr">
        <is>
          <t>AmountTWD</t>
        </is>
      </c>
    </row>
    <row r="5">
      <c r="A5" s="10" t="inlineStr">
        <is>
          <t>EXP-00001</t>
        </is>
      </c>
      <c r="B5" s="10" t="inlineStr">
        <is>
          <t>P001</t>
        </is>
      </c>
      <c r="C5" s="10" t="inlineStr">
        <is>
          <t>E001</t>
        </is>
      </c>
      <c r="D5" s="9" t="n">
        <v>46266</v>
      </c>
      <c r="E5" t="inlineStr">
        <is>
          <t>Approved</t>
        </is>
      </c>
      <c r="F5" t="inlineStr">
        <is>
          <t>TWD</t>
        </is>
      </c>
      <c r="G5" s="11" t="n">
        <v>1280</v>
      </c>
      <c r="H5" s="11" t="n">
        <v>1280</v>
      </c>
    </row>
    <row r="6">
      <c r="A6" s="10" t="inlineStr">
        <is>
          <t>EXP-00002</t>
        </is>
      </c>
      <c r="B6" s="10" t="inlineStr">
        <is>
          <t>P001</t>
        </is>
      </c>
      <c r="C6" s="10" t="inlineStr">
        <is>
          <t>E001</t>
        </is>
      </c>
      <c r="D6" s="9" t="n">
        <v>46267</v>
      </c>
      <c r="E6" t="inlineStr">
        <is>
          <t>Approved</t>
        </is>
      </c>
      <c r="F6" t="inlineStr">
        <is>
          <t>USD</t>
        </is>
      </c>
      <c r="G6" s="11" t="n">
        <v>200</v>
      </c>
      <c r="H6" s="11" t="n">
        <v>6400</v>
      </c>
    </row>
    <row r="7">
      <c r="A7" s="10" t="inlineStr">
        <is>
          <t>EXP-00014</t>
        </is>
      </c>
      <c r="B7" s="10" t="inlineStr">
        <is>
          <t>P003</t>
        </is>
      </c>
      <c r="C7" s="10" t="inlineStr">
        <is>
          <t>E002</t>
        </is>
      </c>
      <c r="D7" s="9" t="n">
        <v>46269</v>
      </c>
      <c r="E7" t="inlineStr">
        <is>
          <t>Approved</t>
        </is>
      </c>
      <c r="F7" t="inlineStr">
        <is>
          <t>EUR</t>
        </is>
      </c>
      <c r="G7" s="11" t="n">
        <v>180</v>
      </c>
      <c r="H7" s="11" t="n">
        <v>6300</v>
      </c>
    </row>
    <row r="8">
      <c r="A8" s="10" t="inlineStr">
        <is>
          <t>EXP-00004</t>
        </is>
      </c>
      <c r="B8" s="10" t="inlineStr">
        <is>
          <t>P003</t>
        </is>
      </c>
      <c r="C8" s="10" t="inlineStr">
        <is>
          <t>E001</t>
        </is>
      </c>
      <c r="D8" s="9" t="n">
        <v>46270</v>
      </c>
      <c r="E8" t="inlineStr">
        <is>
          <t>Approved</t>
        </is>
      </c>
      <c r="F8" t="inlineStr">
        <is>
          <t>EUR</t>
        </is>
      </c>
      <c r="G8" s="11" t="n">
        <v>42.5</v>
      </c>
      <c r="H8" s="11" t="n">
        <v>1487.5</v>
      </c>
    </row>
    <row r="9">
      <c r="A9" s="10" t="inlineStr">
        <is>
          <t>EXP-00006</t>
        </is>
      </c>
      <c r="B9" s="10" t="inlineStr">
        <is>
          <t>P001</t>
        </is>
      </c>
      <c r="C9" s="10" t="inlineStr">
        <is>
          <t>E001</t>
        </is>
      </c>
      <c r="D9" s="9" t="n">
        <v>46275</v>
      </c>
      <c r="E9" t="inlineStr">
        <is>
          <t>Approved</t>
        </is>
      </c>
      <c r="F9" t="inlineStr">
        <is>
          <t>TWD</t>
        </is>
      </c>
      <c r="G9" s="11" t="n">
        <v>620</v>
      </c>
      <c r="H9" s="11" t="n">
        <v>620</v>
      </c>
    </row>
    <row r="10">
      <c r="A10" s="10" t="inlineStr">
        <is>
          <t>EXP-00009</t>
        </is>
      </c>
      <c r="B10" s="10" t="inlineStr">
        <is>
          <t>P003</t>
        </is>
      </c>
      <c r="C10" s="10" t="inlineStr">
        <is>
          <t>E001</t>
        </is>
      </c>
      <c r="D10" s="9" t="n">
        <v>46282</v>
      </c>
      <c r="E10" t="inlineStr">
        <is>
          <t>Approved</t>
        </is>
      </c>
      <c r="F10" t="inlineStr">
        <is>
          <t>TWD</t>
        </is>
      </c>
      <c r="G10" s="11" t="n">
        <v>3150</v>
      </c>
      <c r="H10" s="11" t="n">
        <v>3150</v>
      </c>
    </row>
    <row r="11">
      <c r="A11" s="10" t="inlineStr">
        <is>
          <t>EXP-00024</t>
        </is>
      </c>
      <c r="B11" s="10" t="inlineStr">
        <is>
          <t>P001</t>
        </is>
      </c>
      <c r="C11" s="10" t="inlineStr">
        <is>
          <t>E004</t>
        </is>
      </c>
      <c r="D11" s="9" t="n">
        <v>46283</v>
      </c>
      <c r="E11" t="inlineStr">
        <is>
          <t>Approved</t>
        </is>
      </c>
      <c r="F11" t="inlineStr">
        <is>
          <t>TWD</t>
        </is>
      </c>
      <c r="G11" s="11" t="n">
        <v>5000</v>
      </c>
      <c r="H11" s="11" t="n">
        <v>5000</v>
      </c>
    </row>
    <row r="12">
      <c r="A12" s="10" t="inlineStr">
        <is>
          <t>EXP-00025</t>
        </is>
      </c>
      <c r="B12" s="10" t="inlineStr">
        <is>
          <t>P001</t>
        </is>
      </c>
      <c r="C12" s="10" t="inlineStr">
        <is>
          <t>E004</t>
        </is>
      </c>
      <c r="D12" s="9" t="n">
        <v>46289</v>
      </c>
      <c r="E12" t="inlineStr">
        <is>
          <t>Approved</t>
        </is>
      </c>
      <c r="F12" t="inlineStr">
        <is>
          <t>EUR</t>
        </is>
      </c>
      <c r="G12" s="11" t="n">
        <v>143</v>
      </c>
      <c r="H12" s="11" t="n">
        <v>5005</v>
      </c>
    </row>
    <row r="13">
      <c r="A13" s="10" t="inlineStr">
        <is>
          <t>EXP-00013</t>
        </is>
      </c>
      <c r="B13" s="10" t="inlineStr">
        <is>
          <t>P003</t>
        </is>
      </c>
      <c r="C13" s="10" t="inlineStr">
        <is>
          <t>E001</t>
        </is>
      </c>
      <c r="D13" s="9" t="n">
        <v>46295</v>
      </c>
      <c r="E13" t="inlineStr">
        <is>
          <t>Approved</t>
        </is>
      </c>
      <c r="F13" t="inlineStr">
        <is>
          <t>EUR</t>
        </is>
      </c>
      <c r="G13" s="11" t="n">
        <v>60</v>
      </c>
      <c r="H13" s="11" t="n">
        <v>2100</v>
      </c>
    </row>
  </sheetData>
  <autoFilter ref="A4:H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4" t="inlineStr">
        <is>
          <t>Quotes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ProjectID</t>
        </is>
      </c>
      <c r="C4" s="5" t="inlineStr">
        <is>
          <t>CustomerID</t>
        </is>
      </c>
      <c r="D4" s="5" t="inlineStr">
        <is>
          <t>QuoteDate</t>
        </is>
      </c>
      <c r="E4" s="5" t="inlineStr">
        <is>
          <t>ValidUntil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NetAmount</t>
        </is>
      </c>
      <c r="I4" s="5" t="inlineStr">
        <is>
          <t>AmountTWD</t>
        </is>
      </c>
    </row>
    <row r="5">
      <c r="A5" s="10" t="inlineStr">
        <is>
          <t>Q0010</t>
        </is>
      </c>
      <c r="B5" s="10" t="inlineStr">
        <is>
          <t>P001</t>
        </is>
      </c>
      <c r="C5" s="10" t="inlineStr">
        <is>
          <t>C001</t>
        </is>
      </c>
      <c r="D5" s="9" t="n">
        <v>46266</v>
      </c>
      <c r="E5" s="9" t="n">
        <v>46285</v>
      </c>
      <c r="F5" t="inlineStr">
        <is>
          <t>Sent</t>
        </is>
      </c>
      <c r="G5" t="inlineStr">
        <is>
          <t>TWD</t>
        </is>
      </c>
      <c r="H5" s="11" t="n">
        <v>207629.63</v>
      </c>
      <c r="I5" s="11" t="n">
        <v>207629.63</v>
      </c>
    </row>
    <row r="6">
      <c r="A6" s="10" t="inlineStr">
        <is>
          <t>Q0011</t>
        </is>
      </c>
      <c r="B6" s="10" t="inlineStr">
        <is>
          <t>P001</t>
        </is>
      </c>
      <c r="C6" s="10" t="inlineStr">
        <is>
          <t>C001</t>
        </is>
      </c>
      <c r="D6" s="9" t="n">
        <v>46268</v>
      </c>
      <c r="E6" s="9" t="n">
        <v>46298</v>
      </c>
      <c r="F6" t="inlineStr">
        <is>
          <t>Accepted</t>
        </is>
      </c>
      <c r="G6" t="inlineStr">
        <is>
          <t>USD</t>
        </is>
      </c>
      <c r="H6" s="11" t="n">
        <v>10350</v>
      </c>
      <c r="I6" s="11" t="n">
        <v>331200</v>
      </c>
    </row>
    <row r="7">
      <c r="A7" s="10" t="inlineStr">
        <is>
          <t>Q0014</t>
        </is>
      </c>
      <c r="B7" s="10" t="inlineStr">
        <is>
          <t>P001</t>
        </is>
      </c>
      <c r="C7" s="10" t="inlineStr">
        <is>
          <t>C001</t>
        </is>
      </c>
      <c r="D7" s="9" t="n">
        <v>46274</v>
      </c>
      <c r="E7" s="9" t="n">
        <v>46293</v>
      </c>
      <c r="F7" t="inlineStr">
        <is>
          <t>Expired</t>
        </is>
      </c>
      <c r="G7" t="inlineStr">
        <is>
          <t>EUR</t>
        </is>
      </c>
      <c r="H7" s="11" t="n">
        <v>18072</v>
      </c>
      <c r="I7" s="11" t="n">
        <v>632520</v>
      </c>
    </row>
    <row r="8">
      <c r="A8" s="10" t="inlineStr">
        <is>
          <t>Q0018</t>
        </is>
      </c>
      <c r="B8" s="10" t="inlineStr">
        <is>
          <t>P001</t>
        </is>
      </c>
      <c r="C8" s="10" t="inlineStr">
        <is>
          <t>C001</t>
        </is>
      </c>
      <c r="D8" s="9" t="n">
        <v>46286</v>
      </c>
      <c r="E8" s="9" t="n">
        <v>46316</v>
      </c>
      <c r="F8" t="inlineStr">
        <is>
          <t>Draft</t>
        </is>
      </c>
      <c r="G8" t="inlineStr">
        <is>
          <t>TWD</t>
        </is>
      </c>
      <c r="H8" s="11" t="n">
        <v>514917</v>
      </c>
      <c r="I8" s="11" t="n">
        <v>514917</v>
      </c>
    </row>
  </sheetData>
  <autoFilter ref="A4:I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4" t="inlineStr">
        <is>
          <t>Project summary (TWD)</t>
        </is>
      </c>
    </row>
    <row r="2">
      <c r="A2" s="2" t="inlineStr">
        <is>
          <t>總計 TWD Totals</t>
        </is>
      </c>
      <c r="B2" s="12">
        <f>SUM(B5:B6)</f>
        <v/>
      </c>
      <c r="C2" s="12">
        <f>SUM(C5:C6)</f>
        <v/>
      </c>
      <c r="D2" s="12">
        <f>SUM(D5:D6)</f>
        <v/>
      </c>
      <c r="E2" s="12">
        <f>SUM(E5:E6)</f>
        <v/>
      </c>
    </row>
    <row r="4">
      <c r="A4" s="5" t="inlineStr">
        <is>
          <t>ProjectID</t>
        </is>
      </c>
      <c r="B4" s="5" t="inlineStr">
        <is>
          <t>OrderTWD</t>
        </is>
      </c>
      <c r="C4" s="5" t="inlineStr">
        <is>
          <t>InvoiceBalanceTWD</t>
        </is>
      </c>
      <c r="D4" s="5" t="inlineStr">
        <is>
          <t>ApprovedExpenseTWD</t>
        </is>
      </c>
      <c r="E4" s="5" t="inlineStr">
        <is>
          <t>AcceptedQuoteTWD</t>
        </is>
      </c>
    </row>
    <row r="5">
      <c r="A5" s="10" t="inlineStr">
        <is>
          <t>P001</t>
        </is>
      </c>
      <c r="B5" s="11" t="n">
        <v>693570</v>
      </c>
      <c r="C5" s="11" t="n">
        <v>386445</v>
      </c>
      <c r="D5" s="11" t="n">
        <v>18305</v>
      </c>
      <c r="E5" s="11" t="n">
        <v>331200</v>
      </c>
    </row>
    <row r="6">
      <c r="A6" s="10" t="inlineStr">
        <is>
          <t>P003</t>
        </is>
      </c>
      <c r="B6" s="11" t="n">
        <v>150000</v>
      </c>
      <c r="C6" s="11" t="n">
        <v>0</v>
      </c>
      <c r="D6" s="11" t="n">
        <v>13037.5</v>
      </c>
      <c r="E6" s="11" t="n">
        <v>0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32" customWidth="1" min="4" max="4"/>
  </cols>
  <sheetData>
    <row r="1">
      <c r="A1" s="4" t="inlineStr">
        <is>
          <t>Exceptions 例外與關注項目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Source</t>
        </is>
      </c>
      <c r="B4" s="5" t="inlineStr">
        <is>
          <t>DocumentID</t>
        </is>
      </c>
      <c r="C4" s="5" t="inlineStr">
        <is>
          <t>ProjectID</t>
        </is>
      </c>
      <c r="D4" s="5" t="inlineStr">
        <is>
          <t>Reason</t>
        </is>
      </c>
    </row>
    <row r="5">
      <c r="A5" t="inlineStr">
        <is>
          <t>Invoices</t>
        </is>
      </c>
      <c r="B5" s="10" t="inlineStr">
        <is>
          <t>0090000219</t>
        </is>
      </c>
      <c r="C5" s="10" t="inlineStr">
        <is>
          <t>P001</t>
        </is>
      </c>
      <c r="D5" t="inlineStr">
        <is>
          <t>Overdue unpaid invoice as of 2026-09-30; Balance=386445.00 TWD</t>
        </is>
      </c>
    </row>
    <row r="6">
      <c r="A6" t="inlineStr">
        <is>
          <t>Expenses</t>
        </is>
      </c>
      <c r="B6" s="10" t="inlineStr">
        <is>
          <t>EXP-00006</t>
        </is>
      </c>
      <c r="C6" s="10" t="inlineStr">
        <is>
          <t>P001</t>
        </is>
      </c>
      <c r="D6" t="inlineStr">
        <is>
          <t>Approved expense missing receipt</t>
        </is>
      </c>
    </row>
    <row r="7">
      <c r="A7" t="inlineStr">
        <is>
          <t>Quotes</t>
        </is>
      </c>
      <c r="B7" s="10" t="inlineStr">
        <is>
          <t>Q0010</t>
        </is>
      </c>
      <c r="C7" s="10" t="inlineStr">
        <is>
          <t>P001</t>
        </is>
      </c>
      <c r="D7" t="inlineStr">
        <is>
          <t>Quote expired before 2026-09-30 and not Accepted; Status=Sent</t>
        </is>
      </c>
    </row>
    <row r="8">
      <c r="A8" t="inlineStr">
        <is>
          <t>Quotes</t>
        </is>
      </c>
      <c r="B8" s="10" t="inlineStr">
        <is>
          <t>Q0014</t>
        </is>
      </c>
      <c r="C8" s="10" t="inlineStr">
        <is>
          <t>P001</t>
        </is>
      </c>
      <c r="D8" t="inlineStr">
        <is>
          <t>Quote expired before 2026-09-30 and not Accepted; Status=Expired</t>
        </is>
      </c>
    </row>
  </sheetData>
  <autoFilter ref="A4:D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Orders</t>
        </is>
      </c>
      <c r="B17" t="inlineStr">
        <is>
          <t>A4</t>
        </is>
      </c>
      <c r="C17" s="8" t="inlineStr">
        <is>
          <t>OrderID: text (文字，保留前導零)</t>
        </is>
      </c>
    </row>
    <row r="18">
      <c r="A18" t="inlineStr">
        <is>
          <t>Orders</t>
        </is>
      </c>
      <c r="B18" t="inlineStr">
        <is>
          <t>B4</t>
        </is>
      </c>
      <c r="C18" s="8" t="inlineStr">
        <is>
          <t>ProjectID: text (文字，保留前導零)</t>
        </is>
      </c>
    </row>
    <row r="19">
      <c r="A19" t="inlineStr">
        <is>
          <t>Orders</t>
        </is>
      </c>
      <c r="B19" t="inlineStr">
        <is>
          <t>C4</t>
        </is>
      </c>
      <c r="C19" s="8" t="inlineStr">
        <is>
          <t>CustomerID: text (文字，保留前導零)</t>
        </is>
      </c>
    </row>
    <row r="20">
      <c r="A20" t="inlineStr">
        <is>
          <t>Orders</t>
        </is>
      </c>
      <c r="B20" t="inlineStr">
        <is>
          <t>D4</t>
        </is>
      </c>
      <c r="C20" s="8" t="inlineStr">
        <is>
          <t>OrderDate: date YYYY-MM-DD</t>
        </is>
      </c>
    </row>
    <row r="21">
      <c r="A21" t="inlineStr">
        <is>
          <t>Orders</t>
        </is>
      </c>
      <c r="B21" t="inlineStr">
        <is>
          <t>E4</t>
        </is>
      </c>
      <c r="C21" s="8" t="inlineStr">
        <is>
          <t>Status: text</t>
        </is>
      </c>
    </row>
    <row r="22">
      <c r="A22" t="inlineStr">
        <is>
          <t>Orders</t>
        </is>
      </c>
      <c r="B22" t="inlineStr">
        <is>
          <t>F4</t>
        </is>
      </c>
      <c r="C22" s="8" t="inlineStr">
        <is>
          <t>Currency: text</t>
        </is>
      </c>
    </row>
    <row r="23">
      <c r="A23" t="inlineStr">
        <is>
          <t>Orders</t>
        </is>
      </c>
      <c r="B23" t="inlineStr">
        <is>
          <t>G4</t>
        </is>
      </c>
      <c r="C23" s="8" t="inlineStr">
        <is>
          <t>NetAmount: number, 2 decimals (0.00)</t>
        </is>
      </c>
    </row>
    <row r="24">
      <c r="A24" t="inlineStr">
        <is>
          <t>Orders</t>
        </is>
      </c>
      <c r="B24" t="inlineStr">
        <is>
          <t>H4</t>
        </is>
      </c>
      <c r="C24" s="8" t="inlineStr">
        <is>
          <t>AmountTWD: number, 2 decimals (0.00)</t>
        </is>
      </c>
    </row>
    <row r="25">
      <c r="A25" t="inlineStr">
        <is>
          <t>Invoices</t>
        </is>
      </c>
      <c r="B25" t="inlineStr">
        <is>
          <t>A4</t>
        </is>
      </c>
      <c r="C25" s="8" t="inlineStr">
        <is>
          <t>InvoiceID: text (文字，保留前導零)</t>
        </is>
      </c>
    </row>
    <row r="26">
      <c r="A26" t="inlineStr">
        <is>
          <t>Invoices</t>
        </is>
      </c>
      <c r="B26" t="inlineStr">
        <is>
          <t>B4</t>
        </is>
      </c>
      <c r="C26" s="8" t="inlineStr">
        <is>
          <t>OrderID: text (文字，保留前導零)</t>
        </is>
      </c>
    </row>
    <row r="27">
      <c r="A27" t="inlineStr">
        <is>
          <t>Invoices</t>
        </is>
      </c>
      <c r="B27" t="inlineStr">
        <is>
          <t>C4</t>
        </is>
      </c>
      <c r="C27" s="8" t="inlineStr">
        <is>
          <t>ProjectID: text (文字，保留前導零)</t>
        </is>
      </c>
    </row>
    <row r="28">
      <c r="A28" t="inlineStr">
        <is>
          <t>Invoices</t>
        </is>
      </c>
      <c r="B28" t="inlineStr">
        <is>
          <t>D4</t>
        </is>
      </c>
      <c r="C28" s="8" t="inlineStr">
        <is>
          <t>CustomerID: text (文字，保留前導零)</t>
        </is>
      </c>
    </row>
    <row r="29">
      <c r="A29" t="inlineStr">
        <is>
          <t>Invoices</t>
        </is>
      </c>
      <c r="B29" t="inlineStr">
        <is>
          <t>E4</t>
        </is>
      </c>
      <c r="C29" s="8" t="inlineStr">
        <is>
          <t>InvoiceDate: date YYYY-MM-DD</t>
        </is>
      </c>
    </row>
    <row r="30">
      <c r="A30" t="inlineStr">
        <is>
          <t>Invoices</t>
        </is>
      </c>
      <c r="B30" t="inlineStr">
        <is>
          <t>F4</t>
        </is>
      </c>
      <c r="C30" s="8" t="inlineStr">
        <is>
          <t>DueDate: date YYYY-MM-DD</t>
        </is>
      </c>
    </row>
    <row r="31">
      <c r="A31" t="inlineStr">
        <is>
          <t>Invoices</t>
        </is>
      </c>
      <c r="B31" t="inlineStr">
        <is>
          <t>G4</t>
        </is>
      </c>
      <c r="C31" s="8" t="inlineStr">
        <is>
          <t>Currency: text</t>
        </is>
      </c>
    </row>
    <row r="32">
      <c r="A32" t="inlineStr">
        <is>
          <t>Invoices</t>
        </is>
      </c>
      <c r="B32" t="inlineStr">
        <is>
          <t>H4</t>
        </is>
      </c>
      <c r="C32" s="8" t="inlineStr">
        <is>
          <t>Amount: number, 2 decimals (0.00)</t>
        </is>
      </c>
    </row>
    <row r="33">
      <c r="A33" t="inlineStr">
        <is>
          <t>Invoices</t>
        </is>
      </c>
      <c r="B33" t="inlineStr">
        <is>
          <t>I4</t>
        </is>
      </c>
      <c r="C33" s="8" t="inlineStr">
        <is>
          <t>PaidAmount: number, 2 decimals (0.00)</t>
        </is>
      </c>
    </row>
    <row r="34">
      <c r="A34" t="inlineStr">
        <is>
          <t>Invoices</t>
        </is>
      </c>
      <c r="B34" t="inlineStr">
        <is>
          <t>J4</t>
        </is>
      </c>
      <c r="C34" s="8" t="inlineStr">
        <is>
          <t>Balance: number, 2 decimals (0.00)</t>
        </is>
      </c>
    </row>
    <row r="35">
      <c r="A35" t="inlineStr">
        <is>
          <t>Invoices</t>
        </is>
      </c>
      <c r="B35" t="inlineStr">
        <is>
          <t>K4</t>
        </is>
      </c>
      <c r="C35" s="8" t="inlineStr">
        <is>
          <t>BalanceTWD: number, 2 decimals (0.00)</t>
        </is>
      </c>
    </row>
    <row r="36">
      <c r="A36" t="inlineStr">
        <is>
          <t>Expenses</t>
        </is>
      </c>
      <c r="B36" t="inlineStr">
        <is>
          <t>A4</t>
        </is>
      </c>
      <c r="C36" s="8" t="inlineStr">
        <is>
          <t>ExpenseID: text (文字，保留前導零)</t>
        </is>
      </c>
    </row>
    <row r="37">
      <c r="A37" t="inlineStr">
        <is>
          <t>Expenses</t>
        </is>
      </c>
      <c r="B37" t="inlineStr">
        <is>
          <t>B4</t>
        </is>
      </c>
      <c r="C37" s="8" t="inlineStr">
        <is>
          <t>ProjectID: text (文字，保留前導零)</t>
        </is>
      </c>
    </row>
    <row r="38">
      <c r="A38" t="inlineStr">
        <is>
          <t>Expenses</t>
        </is>
      </c>
      <c r="B38" t="inlineStr">
        <is>
          <t>C4</t>
        </is>
      </c>
      <c r="C38" s="8" t="inlineStr">
        <is>
          <t>EmployeeID: text (文字，保留前導零)</t>
        </is>
      </c>
    </row>
    <row r="39">
      <c r="A39" t="inlineStr">
        <is>
          <t>Expenses</t>
        </is>
      </c>
      <c r="B39" t="inlineStr">
        <is>
          <t>D4</t>
        </is>
      </c>
      <c r="C39" s="8" t="inlineStr">
        <is>
          <t>ExpenseDate: date YYYY-MM-DD</t>
        </is>
      </c>
    </row>
    <row r="40">
      <c r="A40" t="inlineStr">
        <is>
          <t>Expenses</t>
        </is>
      </c>
      <c r="B40" t="inlineStr">
        <is>
          <t>E4</t>
        </is>
      </c>
      <c r="C40" s="8" t="inlineStr">
        <is>
          <t>Status: text</t>
        </is>
      </c>
    </row>
    <row r="41">
      <c r="A41" t="inlineStr">
        <is>
          <t>Expenses</t>
        </is>
      </c>
      <c r="B41" t="inlineStr">
        <is>
          <t>F4</t>
        </is>
      </c>
      <c r="C41" s="8" t="inlineStr">
        <is>
          <t>Currency: text</t>
        </is>
      </c>
    </row>
    <row r="42">
      <c r="A42" t="inlineStr">
        <is>
          <t>Expenses</t>
        </is>
      </c>
      <c r="B42" t="inlineStr">
        <is>
          <t>G4</t>
        </is>
      </c>
      <c r="C42" s="8" t="inlineStr">
        <is>
          <t>Amount: number, 2 decimals (0.00)</t>
        </is>
      </c>
    </row>
    <row r="43">
      <c r="A43" t="inlineStr">
        <is>
          <t>Expenses</t>
        </is>
      </c>
      <c r="B43" t="inlineStr">
        <is>
          <t>H4</t>
        </is>
      </c>
      <c r="C43" s="8" t="inlineStr">
        <is>
          <t>AmountTWD: number, 2 decimals (0.00)</t>
        </is>
      </c>
    </row>
    <row r="44">
      <c r="A44" t="inlineStr">
        <is>
          <t>Quotes</t>
        </is>
      </c>
      <c r="B44" t="inlineStr">
        <is>
          <t>A4</t>
        </is>
      </c>
      <c r="C44" s="8" t="inlineStr">
        <is>
          <t>QuoteID: text (文字，保留前導零)</t>
        </is>
      </c>
    </row>
    <row r="45">
      <c r="A45" t="inlineStr">
        <is>
          <t>Quotes</t>
        </is>
      </c>
      <c r="B45" t="inlineStr">
        <is>
          <t>B4</t>
        </is>
      </c>
      <c r="C45" s="8" t="inlineStr">
        <is>
          <t>ProjectID: text (文字，保留前導零)</t>
        </is>
      </c>
    </row>
    <row r="46">
      <c r="A46" t="inlineStr">
        <is>
          <t>Quotes</t>
        </is>
      </c>
      <c r="B46" t="inlineStr">
        <is>
          <t>C4</t>
        </is>
      </c>
      <c r="C46" s="8" t="inlineStr">
        <is>
          <t>CustomerID: text (文字，保留前導零)</t>
        </is>
      </c>
    </row>
    <row r="47">
      <c r="A47" t="inlineStr">
        <is>
          <t>Quotes</t>
        </is>
      </c>
      <c r="B47" t="inlineStr">
        <is>
          <t>D4</t>
        </is>
      </c>
      <c r="C47" s="8" t="inlineStr">
        <is>
          <t>QuoteDate: date YYYY-MM-DD</t>
        </is>
      </c>
    </row>
    <row r="48">
      <c r="A48" t="inlineStr">
        <is>
          <t>Quotes</t>
        </is>
      </c>
      <c r="B48" t="inlineStr">
        <is>
          <t>E4</t>
        </is>
      </c>
      <c r="C48" s="8" t="inlineStr">
        <is>
          <t>ValidUntil: date YYYY-MM-DD</t>
        </is>
      </c>
    </row>
    <row r="49">
      <c r="A49" t="inlineStr">
        <is>
          <t>Quotes</t>
        </is>
      </c>
      <c r="B49" t="inlineStr">
        <is>
          <t>F4</t>
        </is>
      </c>
      <c r="C49" s="8" t="inlineStr">
        <is>
          <t>Status: text</t>
        </is>
      </c>
    </row>
    <row r="50">
      <c r="A50" t="inlineStr">
        <is>
          <t>Quotes</t>
        </is>
      </c>
      <c r="B50" t="inlineStr">
        <is>
          <t>G4</t>
        </is>
      </c>
      <c r="C50" s="8" t="inlineStr">
        <is>
          <t>Currency: text</t>
        </is>
      </c>
    </row>
    <row r="51">
      <c r="A51" t="inlineStr">
        <is>
          <t>Quotes</t>
        </is>
      </c>
      <c r="B51" t="inlineStr">
        <is>
          <t>H4</t>
        </is>
      </c>
      <c r="C51" s="8" t="inlineStr">
        <is>
          <t>NetAmount: number, 2 decimals (0.00)</t>
        </is>
      </c>
    </row>
    <row r="52">
      <c r="A52" t="inlineStr">
        <is>
          <t>Quotes</t>
        </is>
      </c>
      <c r="B52" t="inlineStr">
        <is>
          <t>I4</t>
        </is>
      </c>
      <c r="C52" s="8" t="inlineStr">
        <is>
          <t>AmountTWD: number, 2 decimals (0.00)</t>
        </is>
      </c>
    </row>
    <row r="53">
      <c r="A53" t="inlineStr">
        <is>
          <t>Invoices</t>
        </is>
      </c>
      <c r="B53" t="inlineStr">
        <is>
          <t>J / K</t>
        </is>
      </c>
      <c r="C53" s="8" t="inlineStr">
        <is>
          <t>Balance = Amount − PaidAmount；BalanceTWD 為 Balance 換算 TWD。</t>
        </is>
      </c>
    </row>
    <row r="54">
      <c r="A54" t="inlineStr">
        <is>
          <t>Summary</t>
        </is>
      </c>
      <c r="B54" t="inlineStr">
        <is>
          <t>A4:E4 / row 5+</t>
        </is>
      </c>
      <c r="C54" s="8" t="inlineStr">
        <is>
          <t>每個專案一列：OrderTWD 訂單金額、InvoiceBalanceTWD 發票未收金額、ApprovedExpenseTWD 核准支出、AcceptedQuoteTWD 已接受報價，皆為 TWD；各來源分開彙總，不互相加總。</t>
        </is>
      </c>
    </row>
    <row r="55">
      <c r="A55" t="inlineStr">
        <is>
          <t>Summary</t>
        </is>
      </c>
      <c r="B55" t="inlineStr">
        <is>
          <t>B2:E2</t>
        </is>
      </c>
      <c r="C55" s="8" t="inlineStr">
        <is>
          <t>公式 =SUM(B5:B{最後資料列}) 等，填入資料後延伸到最後一列；沒有資料時保留 B5:B5。</t>
        </is>
      </c>
    </row>
    <row r="56">
      <c r="A56" t="inlineStr">
        <is>
          <t>Exceptions</t>
        </is>
      </c>
      <c r="B56" t="inlineStr">
        <is>
          <t>A4:D4 / row 5+</t>
        </is>
      </c>
      <c r="C56" s="8" t="inlineStr">
        <is>
          <t>Source 為 Orders / Invoices / Expenses / Quotes，DocumentID 為來源文件 ID，Reason 為原因（例如 Overdue）。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2026-10-09T07:50:00Z</dcterms:modified>
</cp:coreProperties>
</file>